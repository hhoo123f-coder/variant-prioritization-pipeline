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holu\Downloads\38833FF26BA1D.UnigramPreview_g9c9v27vpyspw!App\"/>
    </mc:Choice>
  </mc:AlternateContent>
  <xr:revisionPtr revIDLastSave="0" documentId="8_{E3E40E4D-EC88-4471-BC05-2C478FF4B6B8}" xr6:coauthVersionLast="47" xr6:coauthVersionMax="47" xr10:uidLastSave="{00000000-0000-0000-0000-000000000000}"/>
  <bookViews>
    <workbookView xWindow="-108" yWindow="-108" windowWidth="23256" windowHeight="13896" xr2:uid="{00000000-000D-0000-FFFF-FFFF00000000}"/>
  </bookViews>
  <sheets>
    <sheet name="15 Variant Review" sheetId="1" r:id="rId1"/>
    <sheet name="References" sheetId="3" r:id="rId2"/>
    <sheet name="Instructions &amp; Notes" sheetId="2" r:id="rId3"/>
  </sheets>
  <definedNames>
    <definedName name="_xlnm._FilterDatabase" localSheetId="0" hidden="1">'15 Variant Review'!$A$4:$R$19</definedName>
    <definedName name="References">References!$B:$H</definedName>
  </definedNames>
  <calcPr calcId="0"/>
</workbook>
</file>

<file path=xl/sharedStrings.xml><?xml version="1.0" encoding="utf-8"?>
<sst xmlns="http://schemas.openxmlformats.org/spreadsheetml/2006/main" count="343" uniqueCount="300">
  <si>
    <t>ACMG/AMP VARIANT REVIEW — 15 SELECTED VARIANTS</t>
  </si>
  <si>
    <t>Gene</t>
  </si>
  <si>
    <t>Variation ID</t>
  </si>
  <si>
    <t>Genomic Variant
(GRCh38: Chr:Pos:REF&gt;ALT)</t>
  </si>
  <si>
    <t>Transcript / HGVS</t>
  </si>
  <si>
    <t>Consequence</t>
  </si>
  <si>
    <t>ClinVar Classification /
Review Status</t>
  </si>
  <si>
    <t>gnomAD Evidence
(AF, population, source, status)</t>
  </si>
  <si>
    <t>VEP Consequence / Impact</t>
  </si>
  <si>
    <t>SIFT Prediction</t>
  </si>
  <si>
    <t>PolyPhen-2 Prediction</t>
  </si>
  <si>
    <t>ACMG/AMP Criterion</t>
  </si>
  <si>
    <t>Criterion Strength</t>
  </si>
  <si>
    <t>Evidence</t>
  </si>
  <si>
    <t>Justification</t>
  </si>
  <si>
    <t>Evidence Source</t>
  </si>
  <si>
    <t>Conflicting Evidence /
Limitations</t>
  </si>
  <si>
    <t>Final ACMG/AMP
Classification</t>
  </si>
  <si>
    <t>Comparison with ClinVar</t>
  </si>
  <si>
    <t>BRCA1</t>
  </si>
  <si>
    <t>55372</t>
  </si>
  <si>
    <t>125822</t>
  </si>
  <si>
    <t>868431</t>
  </si>
  <si>
    <t>91641</t>
  </si>
  <si>
    <t>BRCA2</t>
  </si>
  <si>
    <t>962398</t>
  </si>
  <si>
    <t>2574093</t>
  </si>
  <si>
    <t>4690229</t>
  </si>
  <si>
    <t>628149</t>
  </si>
  <si>
    <t>PALB2</t>
  </si>
  <si>
    <t>949556</t>
  </si>
  <si>
    <t>1731521</t>
  </si>
  <si>
    <t>628361</t>
  </si>
  <si>
    <t>1372173</t>
  </si>
  <si>
    <t>TP53</t>
  </si>
  <si>
    <t>372539</t>
  </si>
  <si>
    <t>1066207</t>
  </si>
  <si>
    <t>844926</t>
  </si>
  <si>
    <t>INSTRUCTIONS &amp; NOTES</t>
  </si>
  <si>
    <t>Purpose</t>
  </si>
  <si>
    <t>Variant identity</t>
  </si>
  <si>
    <t>ClinVar</t>
  </si>
  <si>
    <t>gnomAD</t>
  </si>
  <si>
    <t>VEP / predictions</t>
  </si>
  <si>
    <t>ACMG/AMP criteria</t>
  </si>
  <si>
    <t>Final classification</t>
  </si>
  <si>
    <t>Conflicting evidence</t>
  </si>
  <si>
    <t>Data integrity</t>
  </si>
  <si>
    <t>Frameshift</t>
  </si>
  <si>
    <t>13:32329483:T&gt;TA</t>
  </si>
  <si>
    <t>Not applicable — frameshift variant</t>
  </si>
  <si>
    <t>NM_000059.4(BRCA2):c.275A&gt;G (p.Gln92Arg)</t>
  </si>
  <si>
    <t>Missense</t>
  </si>
  <si>
    <t>13:32319284:A&gt;G</t>
  </si>
  <si>
    <t xml:space="preserve">16:23636312:AAC&gt;A
</t>
  </si>
  <si>
    <t xml:space="preserve">Not available (NA) in the current VEP output
</t>
  </si>
  <si>
    <t>NM_024675.4(PALB2):c.232_233del (p.Val78LeufsTer2)</t>
  </si>
  <si>
    <t>NM_000059.4(BRCA2):c.673dup (p.Thr225AsnfsTer4)</t>
  </si>
  <si>
    <t>17:43067610 G&gt;GT</t>
  </si>
  <si>
    <t>Pathogenic; reviewed by expert panel (ENIGMA). [1]</t>
  </si>
  <si>
    <t>The project annotation reports GNOMAD_GENOME_AF as missing and GNOMAD_EXOME_AF as missing, with query status NOT_FOUND. This means that the project query returned no matching record. It does not mean that the allele frequency is zero or prove that the variant is absent from the population. PM2 was not applied based on this result alone. [4, 7]</t>
  </si>
  <si>
    <r>
      <rPr>
        <b/>
        <sz val="11"/>
        <color theme="1"/>
        <rFont val="Arial"/>
        <family val="2"/>
        <scheme val="minor"/>
      </rPr>
      <t>Very Strong (PVS1)</t>
    </r>
    <r>
      <rPr>
        <sz val="11"/>
        <color theme="1"/>
        <rFont val="Arial"/>
        <family val="2"/>
        <scheme val="minor"/>
      </rPr>
      <t>, based on the BRCA1-specific ENIGMA decision framework. The frameshift is predicted to introduce a premature termination codon before the region where NMD is not predicted. [4]</t>
    </r>
  </si>
  <si>
    <t>The frameshift variant is consistent with loss of BRCA1 function. The Pathogenic classification reported by ClinVar and the ENIGMA expert panel supports the external classification recorded for this variant. However, this external classification must be distinguished from an independent project classification based on the criteria evaluated in this review. [1, 4, 5]</t>
  </si>
  <si>
    <t>The genome allele frequency is missing from the project annotation, while an exome allele frequency is available. The missing genome frequency must not be interpreted as zero. Agreement between the project VCF and annotation file does not independently verify the variant against a reference FASTA file. [1, 7]</t>
  </si>
  <si>
    <t>Pathogenic — external ClinVar/ENIGMA expert-panel classification. This is the established external classification used for comparison and should not be described as a complete independent project classification based only on PVS1. [1]</t>
  </si>
  <si>
    <t>The reported classification matches ClinVar: Pathogenic, reviewed by the ENIGMA expert panel. [1]</t>
  </si>
  <si>
    <t>17:43051061 ACCTGTGGGCATGTTGGTGAAGGG&gt;A</t>
  </si>
  <si>
    <t>NM_007294.4:c.5311_5332+1del; protein consequence p.? [3]</t>
  </si>
  <si>
    <t>Pathogenic in ClinVar. However, BRCA Exchange lists the ENIGMA clinical significance for this specific deletion as Not Yet Reviewed. The ClinVar classification should not be described as an ENIGMA expert-panel classification for this variant. [2, 3]</t>
  </si>
  <si>
    <r>
      <rPr>
        <b/>
        <sz val="11"/>
        <color theme="1"/>
        <rFont val="Arial"/>
        <family val="2"/>
        <scheme val="minor"/>
      </rPr>
      <t>VEP Consequence:</t>
    </r>
    <r>
      <rPr>
        <sz val="11"/>
        <color theme="1"/>
        <rFont val="Arial"/>
        <family val="2"/>
        <scheme val="minor"/>
      </rPr>
      <t xml:space="preserve"> splice_donor_variant&amp;coding_sequence_variant.
</t>
    </r>
    <r>
      <rPr>
        <b/>
        <sz val="11"/>
        <color theme="1"/>
        <rFont val="Arial"/>
        <family val="2"/>
        <scheme val="minor"/>
      </rPr>
      <t>Impact:</t>
    </r>
    <r>
      <rPr>
        <sz val="11"/>
        <color theme="1"/>
        <rFont val="Arial"/>
        <family val="2"/>
        <scheme val="minor"/>
      </rPr>
      <t xml:space="preserve"> HIGH.
</t>
    </r>
  </si>
  <si>
    <t>The project VEP annotation identifies a high-impact frameshift variant predicted to disrupt BRCA1 protein function. ClinVar records the variant as Pathogenic with expert-panel review. The project annotation also reports a very low exome allele frequency, while the genome allele frequency is missing. [1, 4, 7]</t>
  </si>
  <si>
    <t>NM_007294.4:c.5071dup; p.Thr1691AsnfsTer4. [1]</t>
  </si>
  <si>
    <t>The limited independent project assessment is VUS, whereas ClinVar reports Pathogenic. This difference should be explained by stating that the project assessment was based only on the criterion documented in this review, while ClinVar reports an external classification. [2, 5]</t>
  </si>
  <si>
    <t>reports Pathogenic, whereas BRCA Exchange lists the ENIGMA clinical significance as Not Yet Reviewed. No direct RNA result for this exact deletion was identified in the reviewed BRCA Exchange record. In addition, the gnomAD query status NOT_FOUND does not establish that the variant is absent from the population. [2, 3, 7]</t>
  </si>
  <si>
    <t>Project annotation: GNOMAD_EXOME_AF = 6.867782818730367e-07; GNOMAD_STATUS = FOUND. GNOMAD_GENOME_AF is missing. The missing genome AF must not be interpreted as zero. PM2 was not applied based on this annotation alone. [7]</t>
  </si>
  <si>
    <t>ClinVar Variation ID 55372: https://www.ncbi.nlm.nih.gov/clinvar/variation/55372/ [1]
Project annotation file: final_annotation_with_VEP_SIFT_PolyPhen.tsv
ClinGen ENIGMA BRCA1/BRCA2 specifications, Version 1.2.0: https://cspec.genome.network/cspec/ui/svi/doc/GN092?version=1.2.0 [4]
gnomAD: https://gnomad.broadinstitute.org/ [7]</t>
  </si>
  <si>
    <t>ClinVar Variation ID 125822: https://www.ncbi.nlm.nih.gov/clinvar/variation/125822/ [2]
BRCA Exchange allele CA10602574: https://brcaexchange.org/variant/CA10602574 [3]
ClinGen ENIGMA BRCA1 variant interpretation specifications, Version 1.2.0: https://cspec.genome.network/cspec/ui/svi/doc/GN092?version=1.2.0 [4]
Historical BIC record for 5430del23: https://research.nhgri.nih.gov/projects/bic/Member/cgi-bin/bic_query_result.cgi?base_change=del+23&amp;exact_search=1&amp;nt=5430&amp;table=brca1_exons [8]
Project annotation file: final_annotation_with_VEP_SIFT_PolyPhen.tsv</t>
  </si>
  <si>
    <r>
      <rPr>
        <b/>
        <sz val="11"/>
        <color theme="1"/>
        <rFont val="Arial"/>
        <family val="2"/>
        <scheme val="minor"/>
      </rPr>
      <t>VEP Consequence:</t>
    </r>
    <r>
      <rPr>
        <sz val="11"/>
        <color theme="1"/>
        <rFont val="Arial"/>
        <family val="2"/>
        <scheme val="minor"/>
      </rPr>
      <t xml:space="preserve"> frameshift_variant.
</t>
    </r>
    <r>
      <rPr>
        <b/>
        <sz val="11"/>
        <color theme="1"/>
        <rFont val="Arial"/>
        <family val="2"/>
        <scheme val="minor"/>
      </rPr>
      <t>Impact:</t>
    </r>
    <r>
      <rPr>
        <sz val="11"/>
        <color theme="1"/>
        <rFont val="Arial"/>
        <family val="2"/>
        <scheme val="minor"/>
      </rPr>
      <t xml:space="preserve"> HIGH.
</t>
    </r>
  </si>
  <si>
    <t>References</t>
  </si>
  <si>
    <t>[1] National Center for Biotechnology Information. (n.d.). ClinVar: BRCA1 variation ID 55372. https://www.ncbi.nlm.nih.gov/clinvar/variation/55372/</t>
  </si>
  <si>
    <t>[2] National Center for Biotechnology Information. (n.d.). ClinVar: BRCA1 variation ID 125822. https://www.ncbi.nlm.nih.gov/clinvar/variation/125822/</t>
  </si>
  <si>
    <t>[3] BRCA Exchange. (n.d.). NM_007294.4(BRCA1):c.5311_5332+1del (CA10602574). https://brcaexchange.org/variant/CA10602574</t>
  </si>
  <si>
    <t>[4] ClinGen ENIGMA BRCA1 and BRCA2 Variant Curation Expert Panel. (2025). ClinGen ENIGMA BRCA1 and BRCA2 expert panel specifications to the ACMG/AMP variant interpretation guidelines for BRCA1 (Version 1.2.0). Clinical Genome Resource. https://cspec.genome.network/cspec/ui/svi/doc/GN092?version=1.2.0</t>
  </si>
  <si>
    <t>[5] Richards, S., Aziz, N., Bale, S., Bick, D., Das, S., Gastier-Foster, J., Grody, W. W., Hegde, M., Lyon, E., Spector, E., Voelkerding, K., &amp; Rehm, H. L. (2015). Standards and guidelines for the interpretation of sequence variants: A joint consensus recommendation of the American College of Medical Genetics and Genomics and the Association for Molecular Pathology. Genetics in Medicine, 17(5), 405–424. https://doi.org/10.1038/gim.2015.30</t>
  </si>
  <si>
    <t>[7] Broad Institute. (n.d.). gnomAD: The Genome Aggregation Database. https://gnomad.broadinstitute.org/</t>
  </si>
  <si>
    <t>[8] National Human Genome Research Institute. (n.d.). Breast Cancer Information Core (BIC): Historical BRCA1 variant record for 5430del23. https://research.nhgri.nih.gov/projects/bic/Member/cgi-bin/bic_query_result.cgi?base_change=del+23&amp;exact_search=1&amp;nt=5430&amp;table=brca1_exons</t>
  </si>
  <si>
    <r>
      <rPr>
        <b/>
        <sz val="11"/>
        <color theme="1"/>
        <rFont val="Arial"/>
        <family val="2"/>
        <scheme val="minor"/>
      </rPr>
      <t>Not applicable.</t>
    </r>
    <r>
      <rPr>
        <sz val="11"/>
        <color theme="1"/>
        <rFont val="Arial"/>
        <family val="2"/>
        <scheme val="minor"/>
      </rPr>
      <t xml:space="preserve"> SIFT is primarily used to predict the effect of amino acid substitutions in missense variants. This variant is a frameshift variant.</t>
    </r>
  </si>
  <si>
    <r>
      <rPr>
        <b/>
        <sz val="11"/>
        <color theme="1"/>
        <rFont val="Arial"/>
        <family val="2"/>
        <scheme val="minor"/>
      </rPr>
      <t>Not applicable</t>
    </r>
    <r>
      <rPr>
        <sz val="11"/>
        <color theme="1"/>
        <rFont val="Arial"/>
        <family val="2"/>
        <scheme val="minor"/>
      </rPr>
      <t>. SIFT is primarily used to predict the impact of missense variants.</t>
    </r>
  </si>
  <si>
    <r>
      <rPr>
        <b/>
        <sz val="11"/>
        <color theme="1"/>
        <rFont val="Arial"/>
        <family val="2"/>
        <scheme val="minor"/>
      </rPr>
      <t>Not applicable.</t>
    </r>
    <r>
      <rPr>
        <sz val="11"/>
        <color theme="1"/>
        <rFont val="Arial"/>
        <family val="2"/>
        <scheme val="minor"/>
      </rPr>
      <t xml:space="preserve"> PolyPhen-2 is primarily used to predict the effect of amino acid substitutions in missense variants. This variant is a frameshift variant.</t>
    </r>
  </si>
  <si>
    <t>[6] McLaren, W., Gil, L., Hunt, S. E., Riat, H. S., Ritchie, G. R. S., Thormann, A., Flicek, P., &amp; Cunningham, F. (2016). The Ensembl Variant Effect Predictor. Genome Biology, 17, Article 122. https://doi.org/10.1186/s13059-016-0974-4</t>
  </si>
  <si>
    <t>The deletion affects coding sequence and the splice-donor +1 position, so a damaging effect is predicted. The historical BIC record provides a predicted stop position, but this is not equivalent to an experimentally confirmed RNA result. BRCA Exchange continues to report p.? and does not provide a direct RNA result for this exact deletion. Therefore, the consequence should be documented as an expected effect based on the available evidence, not as an experimentally demonstrated RNA or protein outcome. [3, 4,8]</t>
  </si>
  <si>
    <t>17:43049119 A&gt;C</t>
  </si>
  <si>
    <t>NM_007294.4:c.5406+2T&gt;G</t>
  </si>
  <si>
    <r>
      <rPr>
        <b/>
        <sz val="11"/>
        <color theme="1"/>
        <rFont val="Arial"/>
        <family val="2"/>
        <scheme val="minor"/>
      </rPr>
      <t xml:space="preserve">Not applicable. </t>
    </r>
    <r>
      <rPr>
        <sz val="11"/>
        <color theme="1"/>
        <rFont val="Arial"/>
        <family val="2"/>
        <scheme val="minor"/>
      </rPr>
      <t>PolyPhen-2 predicts the impact of amino-acid substitutions and is not appropriate for this splice-donor variant.</t>
    </r>
  </si>
  <si>
    <r>
      <rPr>
        <b/>
        <sz val="11"/>
        <color theme="1"/>
        <rFont val="Arial"/>
        <family val="2"/>
        <scheme val="minor"/>
      </rPr>
      <t>Not applicable</t>
    </r>
    <r>
      <rPr>
        <sz val="11"/>
        <color theme="1"/>
        <rFont val="Arial"/>
        <family val="2"/>
        <scheme val="minor"/>
      </rPr>
      <t>. PolyPhen-2 is primarily used to predict the impact of missense variants.</t>
    </r>
  </si>
  <si>
    <t>Likely pathogenic. ClinVar reports that 1 of 2 submissions contributed to the aggregate classification. The contributing germline submission was last evaluated on May 5, 2023. [9]</t>
  </si>
  <si>
    <t>GNOMAD_STATUS = NOT_FOUND. Genome AF and exome AF are missing (.). The absence of a recorded frequency does not mean the allele frequency is zero. [7]</t>
  </si>
  <si>
    <r>
      <rPr>
        <b/>
        <sz val="11"/>
        <color theme="1"/>
        <rFont val="Arial"/>
        <family val="2"/>
        <scheme val="minor"/>
      </rPr>
      <t>Not applicable.</t>
    </r>
    <r>
      <rPr>
        <sz val="11"/>
        <color theme="1"/>
        <rFont val="Arial"/>
        <family val="2"/>
        <scheme val="minor"/>
      </rPr>
      <t xml:space="preserve"> SIFT is primarily used for missense variants; this variant is annotated as a splice-donor variant.
</t>
    </r>
  </si>
  <si>
    <t>frameshift_variant</t>
  </si>
  <si>
    <t>splice_donor_variant&amp;coding_sequence_variant</t>
  </si>
  <si>
    <r>
      <rPr>
        <b/>
        <sz val="11"/>
        <color theme="1"/>
        <rFont val="Arial"/>
        <family val="2"/>
        <scheme val="minor"/>
      </rPr>
      <t>PVS1</t>
    </r>
    <r>
      <rPr>
        <sz val="11"/>
        <color theme="1"/>
        <rFont val="Arial"/>
        <family val="2"/>
        <scheme val="minor"/>
      </rPr>
      <t>. [4]</t>
    </r>
  </si>
  <si>
    <r>
      <rPr>
        <b/>
        <sz val="11"/>
        <color theme="1"/>
        <rFont val="Arial"/>
        <family val="2"/>
        <scheme val="minor"/>
      </rPr>
      <t>PVS1</t>
    </r>
    <r>
      <rPr>
        <sz val="11"/>
        <color theme="1"/>
        <rFont val="Arial"/>
        <family val="2"/>
        <scheme val="minor"/>
      </rPr>
      <t xml:space="preserve"> [ 4]</t>
    </r>
  </si>
  <si>
    <t>[9] National Center for Biotechnology Information (NCBI). ClinVar: BRCA1 Variation ID 868431 (VCV000868431). Available at: https://www.ncbi.nlm.nih.gov/clinvar/variation/868431/</t>
  </si>
  <si>
    <t>[10] Findlay, G. M., et al. (2018). Accurate classification of BRCA1 variants with saturation genome editing. Nature, 562, 217–222. https://doi.org/10.1038/s41586-018-0461-z. PMID: 30209399.</t>
  </si>
  <si>
    <t>PVS1: The variant is a 23-bp deletion extending from c.5311 through c.5332+1, affecting the coding sequence and the canonical splice-donor +1 position. PVS1 was evaluated using the BRCA1-specific ENIGMA decision framework. The exact RNA and protein consequences remain uncertain (p.?). [3, 4]
Population evidence: The project annotation reports GNOMAD_GENOME_AF and GNOMAD_EXOME_AF as missing, with query status NOT_FOUND. This result does not mean the allele frequency is zero, and PM2 was not applied based on this result alone. [4, 7]</t>
  </si>
  <si>
    <r>
      <rPr>
        <b/>
        <sz val="11"/>
        <color theme="1"/>
        <rFont val="Arial"/>
        <family val="2"/>
        <scheme val="minor"/>
      </rPr>
      <t>VUS -</t>
    </r>
    <r>
      <rPr>
        <sz val="11"/>
        <color theme="1"/>
        <rFont val="Arial"/>
        <family val="2"/>
        <scheme val="minor"/>
      </rPr>
      <t xml:space="preserve"> limited independent project assessment. Only PVS1 was assessed in this review, and no additional criterion was established to reach Likely Pathogenic under the ACMG/AMP combination framework. This project assessment does not replace the external Pathogenic classification reported by ClinVar. [2, 4, 5]</t>
    </r>
  </si>
  <si>
    <t>PVS1 [4]; PS3 [4, 10]</t>
  </si>
  <si>
    <r>
      <t xml:space="preserve">PVS1 — Very Strong: </t>
    </r>
    <r>
      <rPr>
        <sz val="11"/>
        <color theme="1"/>
        <rFont val="Arial"/>
        <family val="2"/>
        <scheme val="minor"/>
      </rPr>
      <t>The ClinGen ENIGMA BRCA1/BRCA2 Variant Interpretation Specifications (Version 1.2.0), Table 4, supports applying PVS1 to this</t>
    </r>
    <r>
      <rPr>
        <b/>
        <sz val="11"/>
        <color theme="1"/>
        <rFont val="Arial"/>
        <family val="2"/>
        <scheme val="minor"/>
      </rPr>
      <t xml:space="preserve"> </t>
    </r>
    <r>
      <rPr>
        <sz val="11"/>
        <color theme="1"/>
        <rFont val="Arial"/>
        <family val="2"/>
        <scheme val="minor"/>
      </rPr>
      <t>variant. [4]</t>
    </r>
    <r>
      <rPr>
        <b/>
        <sz val="11"/>
        <color theme="1"/>
        <rFont val="Arial"/>
        <family val="2"/>
        <scheme val="minor"/>
      </rPr>
      <t xml:space="preserve">
PS3 — Strong</t>
    </r>
    <r>
      <rPr>
        <sz val="11"/>
        <color theme="1"/>
        <rFont val="Arial"/>
        <family val="2"/>
        <scheme val="minor"/>
      </rPr>
      <t>: ENIGMA Table 9 identifies the exact variant c.5406+2T&gt;G as meeting PS3 Strong based on calibrated functional assay evidence. [4, 10]</t>
    </r>
  </si>
  <si>
    <r>
      <rPr>
        <b/>
        <sz val="11"/>
        <color theme="1"/>
        <rFont val="Arial"/>
        <family val="2"/>
        <scheme val="minor"/>
      </rPr>
      <t xml:space="preserve">PVS1: </t>
    </r>
    <r>
      <rPr>
        <sz val="11"/>
        <color theme="1"/>
        <rFont val="Arial"/>
        <family val="2"/>
        <scheme val="minor"/>
      </rPr>
      <t>The ClinGen ENIGMA BRCA1/BRCA2 Variant Interpretation Specifications (Version 1.2.0), Table 4, lists this variant for the PVS1 criterion. [4</t>
    </r>
    <r>
      <rPr>
        <b/>
        <sz val="11"/>
        <color theme="1"/>
        <rFont val="Arial"/>
        <family val="2"/>
        <scheme val="minor"/>
      </rPr>
      <t xml:space="preserve">]
PS3: </t>
    </r>
    <r>
      <rPr>
        <sz val="11"/>
        <color theme="1"/>
        <rFont val="Arial"/>
        <family val="2"/>
        <scheme val="minor"/>
      </rPr>
      <t>The ClinGen ENIGMA BRCA1/BRCA2 Variant Interpretation Specifications (Version 1.2.0), Table 9, identifies this exact variant (c.5406+2T&gt;G) as meeting PS3 Strong. The functional assay reported a loss-of-function result, with a score of -1.44 (PMID: 30209399). [4, 10]</t>
    </r>
  </si>
  <si>
    <r>
      <rPr>
        <b/>
        <sz val="11"/>
        <color theme="1"/>
        <rFont val="Arial"/>
        <family val="2"/>
        <scheme val="minor"/>
      </rPr>
      <t xml:space="preserve">Pathogenic </t>
    </r>
    <r>
      <rPr>
        <sz val="11"/>
        <color theme="1"/>
        <rFont val="Arial"/>
        <family val="2"/>
        <scheme val="minor"/>
      </rPr>
      <t>(PVS1 — Very Strong; PS3 — Strong), following the ENIGMA BRCA1/BRCA2 Version 1.2.0 evidence-combination rules. [4, 10]</t>
    </r>
  </si>
  <si>
    <t>Our evidence-based assessment is Pathogenic based on PVS1 (Very Strong) and PS3 (Strong), following the ENIGMA Version 1.2.0 criteria-combination framework. ClinVar reports Likely Pathogenic, with one of two submissions contributing to its aggregate classification. [4, 9, 10]</t>
  </si>
  <si>
    <t>This worksheet documents the ACMG/AMP classification assessment of 15 selected genetic variants as part of the graduation project. It summarizes the supporting evidence, applied criteria, criterion strengths, justifications, and final classifications using the applicable ACMG/AMP guidelines and gene-specific specifications</t>
  </si>
  <si>
    <t>Verify each Variation ID, gene, genome build (GRCh38), chromosome, position, REF/ALT, transcript, and HGVS using reliable sources.</t>
  </si>
  <si>
    <t>Record the classification, review status, and evaluation date when available. Treat ClinVar as an external comparison, not as the project’s independent classification.</t>
  </si>
  <si>
    <t>Record available allele-frequency data and source status. Missing values or NOT_FOUND results do not mean AF = 0.</t>
  </si>
  <si>
    <t>Record VEP consequence/impact and SIFT or PolyPhen-2 results when available. Computational predictions are supporting evidence and should not independently determine classification</t>
  </si>
  <si>
    <t>Document each applied criterion, its strength, supporting evidence, justification, and source. Use one row per variant and list multiple criteria in the same row when applicable.</t>
  </si>
  <si>
    <t>Apply the relevant ACMG/AMP combination rules and gene-specific specifications. Do not simply count criteria. A VUS classification may be appropriate when evidence is insufficient.</t>
  </si>
  <si>
    <t>Document contradictory findings, missing data, and limitations relevant to interpretation.</t>
  </si>
  <si>
    <t>Compare the project’s evidence-based assessment with ClinVar and briefly explain any agreement or disagreement.</t>
  </si>
  <si>
    <t>Do not enter missing values as zero unless the source explicitly reports zero.Keep sources traceable and include access dates where appropriate.</t>
  </si>
  <si>
    <r>
      <rPr>
        <b/>
        <sz val="11"/>
        <color theme="1"/>
        <rFont val="Arial"/>
        <family val="2"/>
        <scheme val="minor"/>
      </rPr>
      <t xml:space="preserve">VEP Consequence: </t>
    </r>
    <r>
      <rPr>
        <sz val="11"/>
        <color theme="1"/>
        <rFont val="Arial"/>
        <family val="2"/>
        <scheme val="minor"/>
      </rPr>
      <t>splice_donor_variant</t>
    </r>
    <r>
      <rPr>
        <b/>
        <sz val="11"/>
        <color theme="1"/>
        <rFont val="Arial"/>
        <family val="2"/>
        <scheme val="minor"/>
      </rPr>
      <t xml:space="preserve">
Impact:</t>
    </r>
    <r>
      <rPr>
        <sz val="11"/>
        <color theme="1"/>
        <rFont val="Arial"/>
        <family val="2"/>
        <scheme val="minor"/>
      </rPr>
      <t xml:space="preserve"> HIGH</t>
    </r>
  </si>
  <si>
    <r>
      <rPr>
        <b/>
        <sz val="11"/>
        <color theme="1"/>
        <rFont val="Arial"/>
        <family val="2"/>
        <scheme val="minor"/>
      </rPr>
      <t>PVS1:</t>
    </r>
    <r>
      <rPr>
        <sz val="11"/>
        <color theme="1"/>
        <rFont val="Arial"/>
        <family val="2"/>
        <scheme val="minor"/>
      </rPr>
      <t xml:space="preserve"> The variant affects the canonical splice-donor +2 position of BRCA1. The assigned strength follows the gene-specific ENIGMA recommendation in Table 4. [4]
</t>
    </r>
    <r>
      <rPr>
        <b/>
        <sz val="11"/>
        <color theme="1"/>
        <rFont val="Arial"/>
        <family val="2"/>
        <scheme val="minor"/>
      </rPr>
      <t>PS3</t>
    </r>
    <r>
      <rPr>
        <sz val="11"/>
        <color theme="1"/>
        <rFont val="Arial"/>
        <family val="2"/>
        <scheme val="minor"/>
      </rPr>
      <t>: The calibrated functional assay supports a damaging effect for this exact variant, and ENIGMA Table 9 specifically assigns PS3 Strong. [4, 10]</t>
    </r>
  </si>
  <si>
    <t>[4] ClinGen ENIGMA BRCA1/BRCA2 Variant Interpretation Specifications. Version 1.2.0. Available at: https://cspec.genome.network/cspec/ui/svi/doc/GN092?version=1.2.0
[7] gnomAD. Genome Aggregation Database. Available at: https://gnomad.broadinstitute.org/
[9] National Center for Biotechnology Information (NCBI). ClinVar: BRCA1 Variation ID 868431 (VCV000868431). Available at: https://www.ncbi.nlm.nih.gov/clinvar/variation/868431/                                                                                                                                                                                             
[10] Findlay, G. M., et al. (2018). Accurate classification of BRCA1 variants with saturation genome editing. Nature, 562, 217–222. https://doi.org/10.1038/s41586-018-0461-z. PMID: 30209399.
Project annotation file: final_annotation_with_VEP_SIFT_PolyPhen.tsv.</t>
  </si>
  <si>
    <t>Evidence-based ACMG/AMP variant classification. Use one row per variant and document the assessed criteria, evidence, justifications, and references.</t>
  </si>
  <si>
    <t>The project annotation reports no gnomAD frequency values and marks the variant NOT_FOUND. PM2_Supporting is not assigned from this absence alone; ENIGMA requires the specified gnomAD datasets and adequate coverage. No additional criteria beyond PVS1 and PS3 were assigned without sufficient evidence. [4, 7]</t>
  </si>
  <si>
    <r>
      <rPr>
        <b/>
        <sz val="11"/>
        <color theme="1"/>
        <rFont val="Arial"/>
        <family val="2"/>
        <scheme val="minor"/>
      </rPr>
      <t xml:space="preserve">Very Strong (PVS1), </t>
    </r>
    <r>
      <rPr>
        <sz val="11"/>
        <color theme="1"/>
        <rFont val="Arial"/>
        <family val="2"/>
        <scheme val="minor"/>
      </rPr>
      <t>based on the BRCA1-specific PVS1 decision tree in the ENIGMA BRCA1/BRCA2 Variant Interpretation Specifications v1.2.0, Appendix D, Figure 3 (“BRCA1 PVS1 decision tree – initiation, nonsense/frameshift, deletion, duplication”). This is a prediction-based assessment; direct RNA evidence confirming the predicted transcript effect was not identified. [4]</t>
    </r>
  </si>
  <si>
    <t>gnomAD v4.1.2: The variant was not found in the current project annotation. Genome and exome allele frequency values are recorded as ".". This does not establish an allele frequency of zero or independently confirm absence from gnomAD. [7]</t>
  </si>
  <si>
    <t>VEP consequence: frameshift_variant; impact: HIGH. [6]</t>
  </si>
  <si>
    <t>PVS1 — candidate criterion reported by the ClinVar submitter; requires independent verification. [11, 14]</t>
  </si>
  <si>
    <t>Very Strong was reported by the ClinVar submitter. Its applicability and strength require independent verification using BRCA2-specific specifications. [11, 14]</t>
  </si>
  <si>
    <t>The c.673dup variant is predicted to cause a frameshift and premature termination. PVS1 was reported by the ClinVar submitter; its applicability and strength should be independently verified using BRCA2-specific specifications before final classification. The ClinVar classification is provided for comparison, not as an independent final project classification. [5, 11, 14]</t>
  </si>
  <si>
    <t>Likely pathogenic; criteria provided, single submitter. This is the external ClinVar classification and not an independent final classification by the project. [11]</t>
  </si>
  <si>
    <t>Variant of uncertain significance (VUS). This is the external ClinVar classification and is provided for comparison, not as an independent final classification by the project. [12]</t>
  </si>
  <si>
    <t>The variant was not found in the current project annotation. This does not establish an allele frequency of zero or independently confirm absence from gnomAD. [7]</t>
  </si>
  <si>
    <t>VEP consequence: missense_variant; impact: MODERATE. [6]</t>
  </si>
  <si>
    <t>SIFT prediction is unavailable in the current project output. No prediction-based evidence is assigned. [6]</t>
  </si>
  <si>
    <t>PolyPhen-2 prediction is unavailable in the current project output. No prediction-based evidence is assigned. [6]</t>
  </si>
  <si>
    <t>Not assigned — insufficient evidence to assign a specific ACMG/AMP criterion at this stage. [5]</t>
  </si>
  <si>
    <t>Not applicable — no ACMG/AMP criterion assigned due to insufficient evidence.</t>
  </si>
  <si>
    <t>The c.275A&gt;G (p.Gln92Arg) variant is a missense variant with a VEP impact of MODERATE. SIFT and PolyPhen-2 predictions are unavailable in the current project output. Therefore, the available evidence is insufficient to assign a specific ACMG/AMP criterion at this stage. The ClinVar classification is provided for comparison, not as an independent final project classification. [5, 6, 12]</t>
  </si>
  <si>
    <t>Pathogenic; multiple submitters, no conflicts, review status: criteria provided, multiple submitters, no conflicts (2 stars). This is the external ClinVar classification and is provided for comparison, not as an independent final classification by the project. [13]</t>
  </si>
  <si>
    <t>gnomAD genome allele frequency: 1.3138187455658618e-05. Exome allele frequency is unavailable in the current project output. The variant has a low reported genome allele frequency and must not be described as absent from gnomAD. [7]</t>
  </si>
  <si>
    <t>PVS1 — candidate criterion; applicability and strength require independent assessment using the appropriate evidence framework for PALB2. [5]</t>
  </si>
  <si>
    <t>Not finalized — PVS1 strength requires independent verification using the applicable PALB2 evidence framework. [5]</t>
  </si>
  <si>
    <t xml:space="preserve">The c.232_233del variant in PALB2 is a frameshift variant predicted to cause premature termination. The gnomAD genome allele frequency is 1.3138187455658618e-05, while the exome allele frequency is unavailable in the current project output. Therefore, the variant must not be described as absent from gnomAD. PVS1 remains a candidate criterion requiring independent assessment. The ClinVar classification is provided for comparison, not as an independent final project classification. The BRCA1-specific specifications in reference [4] are not used to justify PALB2 criteria. [5, 6, 7, 13]
</t>
  </si>
  <si>
    <t>[11] National Center for Biotechnology Information (NCBI). (n.d.). ClinVar: BRCA2 Variation ID 4690229. https://www.ncbi.nlm.nih.gov/clinvar/variation/4690229/</t>
  </si>
  <si>
    <t>[12] National Center for Biotechnology Information (NCBI). (n.d.). ClinVar: BRCA2 Variation ID 628149. https://www.ncbi.nlm.nih.gov/clinvar/variation/628149/</t>
  </si>
  <si>
    <t>[13] National Center for Biotechnology Information (NCBI). (n.d.). ClinVar: PALB2 Variation ID 949556. https://www.ncbi.nlm.nih.gov/clinvar/variation/949556/</t>
  </si>
  <si>
    <t>[14] ClinGen ENIGMA BRCA1 and BRCA2 Variant Curation Expert Panel. (2025). ClinGen ENIGMA BRCA2 Variant Interpretation Specifications, Version 1.2. ClinGen Criteria Specification Registry. https://cspec.genome.network/cspec/ui/svi/doc/GN097?version=1.2</t>
  </si>
  <si>
    <t>ClinVar submitter evidence: The variant is reported as a frameshift and is predicted by the submitter to cause nonsense-mediated mRNA decay (NMD). The submitter cites PVS1 based on loss of function being an established disease mechanism for BRCA2, and PM2 based on the population databases assessed in that submission. These criteria are reported from ClinVar and have not been independently reassessed in this review. [5, 11, 14]</t>
  </si>
  <si>
    <t>ClinVar reports this variant as a Variant of Uncertain Significance (VUS). The Labcorp Genetics submission reports that the variant was not present in the population databases evaluated in that submission and cites computational protein modeling suggesting that the change is not expected to disrupt BRCA2 protein function. The variant has also been reported in an individual with pancreatic ductal adenocarcinoma (PMID: 28767289). These are reported submission details and have not been independently reassessed here. The current project output does not provide SIFT or PolyPhen-2 predictions, and no specific ACMG/AMP criterion is assigned at this stage. [5, 6, 12]</t>
  </si>
  <si>
    <t>ClinVar reports this PALB2 variant as Pathogenic. The 2-bp deletion is reported as a frameshift variant with a premature termination signal. ClinVar submissions cite supporting publications (PMIDs: 17200668, 17200671, 17200672, 24136930, 25099575). The available project annotation reports a gnomAD genome allele frequency of 1.3138187455658618e-05; the exome allele frequency is unavailable. The ClinVar evidence and classification have not been independently reassessed in this review. [5, 7, 13]</t>
  </si>
  <si>
    <t>The variant is recorded as chr13:32329483 T&gt;TA (GRCh38), corresponding to NM_000059.4(BRCA2):c.673dup (p.Thr225AsnfsTer4). ClinVar reports the variant as Likely Pathogenic based on a single submitter. The genomic representation is consistent with the available VEP annotation. However, the ACMG/AMP evidence and population-frequency findings have not been independently verified in this review. [6, 7, 11]</t>
  </si>
  <si>
    <t>Not independently classified — ClinVar reports Likely Pathogenic. [11]</t>
  </si>
  <si>
    <t>ClinVar classifies the variant as Likely Pathogenic based on a single submitter. The available VEP annotation is consistent with the reported frameshift consequence; however, independent ACMG/AMP reassessment remains incomplete. [6, 11]</t>
  </si>
  <si>
    <t>ClinVar reports the variant as a Variant of Uncertain Significance (VUS). The current project output does not include SIFT or PolyPhen-2 predictions. The available evidence is insufficient to establish an independent ACMG/AMP classification. The absence of a matching record in the current project annotation does not establish an allele frequency of zero. [6, 7, 12]</t>
  </si>
  <si>
    <t>No independent final ACMG/AMP classification assigned in this review. ClinVar reports the variant as a Variant of Uncertain Significance (VUS). [12]</t>
  </si>
  <si>
    <t>ClinVar reports the variant as a Variant of Uncertain Significance (VUS), consistent with the external classification recorded for comparison. The project has not established an independent final ACMG/AMP classification. [12]</t>
  </si>
  <si>
    <t>ClinVar reports the PALB2 variant as Pathogenic, with multiple submitters and no conflicts in the aggregate classification. The available project annotation reports a gnomAD genome allele frequency of 1.3138187455658618e-05; the exome allele frequency is unavailable. The external ClinVar classification has not been independently reassessed in this review. [7, 13]</t>
  </si>
  <si>
    <t>No independent final ACMG/AMP classification assigned in this review. ClinVar reports the variant as Pathogenic based on the available germline submissions. [13]</t>
  </si>
  <si>
    <t>ClinVar reports the variant as Pathogenic, based on the displayed germline submissions from Labcorp Genetics and Color Diagnostics. This external classification is recorded for comparison and does not represent an independent final ACMG/AMP classification by the project. [13]</t>
  </si>
  <si>
    <t>[11] National Center for Biotechnology Information (NCBI). (n.d.). ClinVar: BRCA2 Variation ID 4690229. Available at: https://www.ncbi.nlm.nih.gov/clinvar/variation/4690229/
[6] McLaren, W., Gil, L., Hunt, S. E., Riat, H. S., Ritchie, G. R. S., Thormann, A., Flicek, P., &amp; Cunningham, F. (2016). The Ensembl Variant Effect Predictor. Genome Biology, 17, Article 122. Available at: https://doi.org/10.1186/s13059-016-0974-4
[7] Broad Institute. (n.d.). gnomAD: The Genome Aggregation Database. Available at: https://gnomad.broadinstitute.org/
[14] ClinGen ENIGMA BRCA1 and BRCA2 Variant Curation Expert Panel. (2025). ClinGen ENIGMA BRCA2 Variant Interpretation Specifications, Version 1.2. ClinGen Criteria Specification Registry. Available at: https://cspec.genome.network/cspec/ui/svi/doc/GN097?version=1.2
[5] Richards, S., et al. (2015). Standards and guidelines for the interpretation of sequence variants: A joint consensus recommendation of the ACMG and AMP. Genetics in Medicine, 17(5), 405–424. Available at: https://doi.org/10.1038/gim.2015.30</t>
  </si>
  <si>
    <t>National Center for Biotechnology Information. (n.d.). ClinVar: PALB2 Variation ID 949556. https://www.ncbi.nlm.nih.gov/clinvar/variation/949556/ [13]
McLaren, W., Gil, L., Hunt, S. E., Riat, H. S., Ritchie, G. R. S., Thormann, A., Flicek, P., &amp; Cunningham, F. (2016). The Ensembl Variant Effect Predictor. Genome Biology, 17, Article 122. https://doi.org/10.1186/s13059-016-0974-4 [6]
Broad Institute. (n.d.). gnomAD: The Genome Aggregation Database. https://gnomad.broadinstitute.org/ [7]
Richards, S., et al. (2015). Standards and guidelines for the interpretation of sequence variants: A joint consensus recommendation of the ACMG and AMP. Genetics in Medicine, 17(5), 405–424. https://doi.org/10.1038/gim.2015.30 [5]</t>
  </si>
  <si>
    <t>National Center for Biotechnology Information. (n.d.). ClinVar: BRCA2 Variation ID 628149. https://www.ncbi.nlm.nih.gov/clinvar/variation/628149/ [12]
Ensembl. (n.d.). Variant Effect Predictor (VEP). https://www.ensembl.org/info/docs/tools/vep/index.html [6]
gnomAD. (n.d.). Genome Aggregation Database. https://gnomad.broadinstitute.org/ [7]
ClinGen ENIGMA. (n.d.). BRCA2-specific ACMG/AMP specifications. Version 1.2. https://clinicalgenome.org/affiliation/50019/ [14]
Richards, S., et al. (2015). Standards and guidelines for the interpretation of sequence variants. Genetics in Medicine, 17, 405–424. https://doi.org/10.1038/gim.2015.30 [5]</t>
  </si>
  <si>
    <t>17:43063335 C&gt;T</t>
  </si>
  <si>
    <t>NM_007294.4:c.5191G&gt;A (p.Glu1731Lys)</t>
  </si>
  <si>
    <t>Variant of uncertain significance (VUS); reviewed by expert panel (ENIGMA).</t>
  </si>
  <si>
    <t>13:32337429 AGAAGAGCAAAATGTTCTTCAAAGATATT&gt;A</t>
  </si>
  <si>
    <t>NM_000059.4:c.3080_3107del (p.Ser1027AsnfsTer7)</t>
  </si>
  <si>
    <t>Pathogenic; criteria provided, single submitter.</t>
  </si>
  <si>
    <t>13:32326582 A&gt;ACCAC</t>
  </si>
  <si>
    <t>NM_000059.4:c.607_610dup (p.Leu204HisfsTer3)</t>
  </si>
  <si>
    <t>Likely pathogenic; no assertion criteria provided.</t>
  </si>
  <si>
    <t>Project annotation: GNOMAD_EXOME_AF = 6.8648e-07; genome AF missing; status FOUND.</t>
  </si>
  <si>
    <t>VEP consequence: missense_variant &amp; splice_region_variant; impact: MODERATE.</t>
  </si>
  <si>
    <t>Deleterious (project VEP prediction).</t>
  </si>
  <si>
    <t>Benign (project VEP prediction).</t>
  </si>
  <si>
    <t>PS3; BP4; PM2_Supporting.</t>
  </si>
  <si>
    <t>Strong (PS3); Supporting (BP4, PM2).</t>
  </si>
  <si>
    <t>ENIGMA reports functional evidence supporting PS3 (PMID: 30209399). BayesDel and SpliceAI support BP4. Population evidence supports PM2_Supporting.</t>
  </si>
  <si>
    <t>The variant shows conflicting functional and computational evidence. The applied criteria support a VUS classification.</t>
  </si>
  <si>
    <t>Functional and computational evidence are conflicting. Project SIFT and PolyPhen predictions also differ.</t>
  </si>
  <si>
    <t>The assessment agrees with ClinVar: Variant of Uncertain Significance.</t>
  </si>
  <si>
    <t>GNOMAD_STATUS = NOT_FOUND. Genome and exome AF are missing.</t>
  </si>
  <si>
    <t>VEP consequence: frameshift_variant; impact: HIGH.</t>
  </si>
  <si>
    <t>Not applicable — frameshift variant.</t>
  </si>
  <si>
    <t>The frameshift is consistent with possible loss of BRCA2 function. PVS1 requires assessment under ENIGMA guidelines.</t>
  </si>
  <si>
    <t>gnomAD frequency is unavailable. PVS1 strength has not been independently confirmed.</t>
  </si>
  <si>
    <t>Not independently classified — ClinVar reports Pathogenic.</t>
  </si>
  <si>
    <t>ClinVar reports Pathogenic; independent ACMG/AMP assessment remains incomplete.</t>
  </si>
  <si>
    <t>The frameshift may disrupt BRCA2 function. PVS1 applicability must be verified using ENIGMA guidelines.</t>
  </si>
  <si>
    <t>gnomAD frequency is unavailable. Independent functional evidence and PVS1 strength require verification.</t>
  </si>
  <si>
    <t>Not independently classified — ClinVar reports Likely Pathogenic.</t>
  </si>
  <si>
    <t>ClinVar reports Likely Pathogenic; independent ACMG/AMP assessment remains incomplete.</t>
  </si>
  <si>
    <t>[15] National Center for Biotechnology Information (NCBI). (n.d.). ClinVar: BRCA1 Variation ID 91641. https://www.ncbi.nlm.nih.gov/clinvar/variation/91641/[16] ClinGen ENIGMA BRCA1 and BRCA2 Variant Curation Expert Panel. (2026). BRCA1 c.5191G&gt;A (p.Glu1731Lys): Variant classification and evidence summary. ClinGen Evidence Repository. https://erepo.clinicalgenome.org/evrepo/ui/interpretation/5d4daf42-5ef3-49d1-9d6d-a2815a7cdeb4[4] ClinGen ENIGMA BRCA1 Variant Interpretation Specifications, Version 1.2.0. https://cspec.genome.network/cspec/ui/svi/doc/GN092?version=1.2.0[10] Findlay, G. M., et al. (2018). Accurate classification of BRCA1 variants with saturation genome editing. Nature, 562, 217–222. https://doi.org/10.1038/s41586-018-0461-zProject annotation file: final_annotation_with_VEP_SIFT_PolyPhen.tsv.</t>
  </si>
  <si>
    <t>splice_donor_variant</t>
  </si>
  <si>
    <t>[17] National Center for Biotechnology Information (NCBI). (n.d.). ClinVar: BRCA2 Variation ID 962398. https://www.ncbi.nlm.nih.gov/clinvar/variation/962398/[14] ClinGen ENIGMA BRCA1 and BRCA2 Variant Curation Expert Panel. (2025). ClinGen ENIGMA BRCA2 Variant Interpretation Specifications, Version 1.2. https://cspec.genome.network/cspec/ui/svi/doc/GN097?version=1.2[6] McLaren, W., et al. (2016). The Ensembl Variant Effect Predictor. Genome Biology, 17, Article 122. https://doi.org/10.1186/s13059-016-0974-4[7] Broad Institute. (n.d.). gnomAD: The Genome Aggregation Database. https://gnomad.broadinstitute.org/Project annotation file: final_annotation_with_VEP_SIFT_PolyPhen.tsv.</t>
  </si>
  <si>
    <t>[18] National Center for Biotechnology Information (NCBI). (n.d.). ClinVar: BRCA2 Variation ID 2574093. https://www.ncbi.nlm.nih.gov/clinvar/variation/2574093/[14] ClinGen ENIGMA BRCA1 and BRCA2 Variant Curation Expert Panel. (2025). ClinGen ENIGMA BRCA2 Variant Interpretation Specifications, Version 1.2. https://cspec.genome.network/cspec/ui/svi/doc/GN097?version=1.2[6] McLaren, W., et al. (2016). The Ensembl Variant Effect Predictor. Genome Biology, 17, Article 122. https://doi.org/10.1186/s13059-016-0974-4[7] Broad Institute. (n.d.). gnomAD: The Genome Aggregation Database. https://gnomad.broadinstitute.org/Project annotation file: final_annotation_with_VEP_SIFT_PolyPhen.tsv.</t>
  </si>
  <si>
    <t>PVS1; PM5_Strong (PTC)</t>
  </si>
  <si>
    <t>Very Strong; Strong</t>
  </si>
  <si>
    <t xml:space="preserve">ENIGMA Table 4 supports PVS1 and PM5_Strong (PTC) for predicted truncating variants in BRCA2 exon 11.
 </t>
  </si>
  <si>
    <t xml:space="preserve">ENIGMA Table 4 supports PVS1 and PM5_Strong (PTC) for predicted truncating variants in BRCA2 exon 7.
 </t>
  </si>
  <si>
    <t>[15] National Center for Biotechnology Information. (n.d.). ClinVar: BRCA1 Variation ID 91641. https://www.ncbi.nlm.nih.gov/clinvar/variation/91641/</t>
  </si>
  <si>
    <t>[16] ClinGen ENIGMA BRCA1 and BRCA2 Variant Curation Expert Panel. (2026). BRCA1 c.5191G&gt;A (p.Glu1731Lys): Variant classification and evidence summary. ClinGen Evidence Repository. https://erepo.clinicalgenome.org/evrepo/ui/interpretation/5d4daf42-5ef3-49d1-9d6d-a2815a7cdeb4</t>
  </si>
  <si>
    <t>[17] National Center for Biotechnology Information. (n.d.). ClinVar: BRCA2 Variation ID 962398. https://www.ncbi.nlm.nih.gov/clinvar/variation/962398/</t>
  </si>
  <si>
    <t>[18] National Center for Biotechnology Information. (n.d.). ClinVar: BRCA2 Variation ID 2574093. https://www.ncbi.nlm.nih.gov/clinvar/variation/2574093/</t>
  </si>
  <si>
    <t>VEP Consequence:
missense_variant
Impact: MODERATE</t>
  </si>
  <si>
    <t>missense_variant</t>
  </si>
  <si>
    <t>Supporting</t>
  </si>
  <si>
    <t>ClinVar (CLNSIG, CLNREVSTAT, CLNDN); VEP MANE annotation (HGVS, consequence, impact); gnomAD query status; SIFT and PolyPhen predictions; final_annotation_with_VEP_SIFT_PolyPhen.tsv.</t>
  </si>
  <si>
    <t>Uncertain significance; criteria_provided, single_submitter</t>
  </si>
  <si>
    <t>missense_variant; MODERATE</t>
  </si>
  <si>
    <t>deleterious</t>
  </si>
  <si>
    <t>probably_damaging</t>
  </si>
  <si>
    <t>ClinVar (PALB2 Variation ID 1372173); final_annotation_with_VEP_SIFT_PolyPhen.tsv (VEP consequence, impact, SIFT, PolyPhen, gnomAD status); ACMG/AMP guidelines (Richards et al., 2015); VEP methodology (McLaren et al., 2016); gnomAD database (Broad Institute).</t>
  </si>
  <si>
    <t>17:7674903:TTC&gt;T</t>
  </si>
  <si>
    <t>NM_000546.6:c.626_627del (p.Arg209LysfsTer6). MANE Select ENST00000269305.9. [6, 23, 24]</t>
  </si>
  <si>
    <t>Pathogenic; criteria provided, multiple submitters, no conflicts</t>
  </si>
  <si>
    <t>FOUND. Project gnomAD exome AF = 6.840459952527208e-7; genome AF unavailable. Rarity is documented, but PM2_Supporting is not assigned because ancestry-level counts/frequencies and quality information were not provided. Missing AF is not zero. [7, 22, 23]</t>
  </si>
  <si>
    <t>frameshift_variant; HIGH</t>
  </si>
  <si>
    <t>Not applicable</t>
  </si>
  <si>
    <t>PVS1. [22, 25]</t>
  </si>
  <si>
    <t>Very Strong (+8 points). [22]</t>
  </si>
  <si>
    <t>The MANE frameshift p.Arg209LysfsTer6 introduces a premature stop at approximately residue 214, upstream of Lys351. The TP53 PVS1 flowchart predicts nonsense-mediated decay. [6, 23–25]</t>
  </si>
  <si>
    <t>The early premature stop meets PVS1 at Very Strong strength. No additional criteria were established. Under the TP53 v2.4 point framework, 8 points supports Likely Pathogenic. ClinVar and prioritization scores were excluded from the evidence assessment. [5, 22, 25]</t>
  </si>
  <si>
    <t>ACMG/AMP [5]; VEP [6]; gnomAD [7]; ClinGen TP53 v2.4 [22]; project annotation tables [23, 24]; PVS1 flowchart [25]. ClinVar [19]: external comparison only.</t>
  </si>
  <si>
    <t>NMD is predicted rather than experimentally confirmed. Ancestry-specific population data and independently reviewed case or segregation evidence were unavailable. PM2 was not assigned. [22–25]</t>
  </si>
  <si>
    <t>Likely Pathogenic. PVS1 (Very Strong): 8 points under ClinGen TP53 v2.4. [22, 25]</t>
  </si>
  <si>
    <t>ClinVar reports Pathogenic. The project assessment is Likely Pathogenic because the reviewed evidence totals 8 points, below the Pathogenic threshold of ≥10. [19, 22, 25]</t>
  </si>
  <si>
    <t>17:7670656:CT&gt;C</t>
  </si>
  <si>
    <t>NM_000546.6:c.1052del (p.Lys351ArgfsTer19). MANE Select ENST00000269305.9. [6, 23, 24]</t>
  </si>
  <si>
    <t>Likely pathogenic; criteria provided, single submitter</t>
  </si>
  <si>
    <t>NOT_FOUND (Does not mean AF=0). Exome and genome AF missing; re-query and r3 final review also report NOT_FOUND.</t>
  </si>
  <si>
    <t>PVS1_Moderate. [22, 25]</t>
  </si>
  <si>
    <t>Moderate (+2 points). [22, 25]</t>
  </si>
  <si>
    <t>The MANE frameshift p.Lys351ArgfsTer19 introduces a new stop at approximately residue 369. This stop falls within the Gly356–Asp393 branch of the TP53 PVS1 flowchart, with predicted NMD escape. [23–25]</t>
  </si>
  <si>
    <t>The position of the new stop supports PVS1_Moderate rather than PVS1 at Very Strong strength. NOT_FOUND does not justify PM2. The resulting 2 points supports VUS under TP53 v2.4. [5, 22, 25]</t>
  </si>
  <si>
    <t>ACMG/AMP [5]; VEP [6]; gnomAD [7]; ClinGen TP53 v2.4 [22]; project annotation tables [23, 24]; PVS1 flowchart [25]. ClinVar [20]: external comparison only.</t>
  </si>
  <si>
    <t>Population frequencies are unavailable; NOT_FOUND does not establish absence. NMD escape is predicted. Functional, segregation and case-level evidence were not independently scored. [22–25]</t>
  </si>
  <si>
    <t>VUS — Variant of Uncertain Significance. PVS1_Moderate: 2 points under ClinGen TP53 v2.4. [22, 25]</t>
  </si>
  <si>
    <t>ClinVar reports Likely Pathogenic. The project assessment remains VUS because PVS1_Moderate alone provides 2 points, insufficient for Likely Pathogenic. [20, 22, 25]</t>
  </si>
  <si>
    <t>17:7675107:T&gt;C</t>
  </si>
  <si>
    <t>MANE Select: NM_000546.6
ENST00000269305.9:c.505A&gt;G
ENSP00000269305.4:p.Met169Val</t>
  </si>
  <si>
    <t>Uncertain significance; criteria provided, multiple submitters, no conflicts</t>
  </si>
  <si>
    <t>FOUND. Project gnomAD exome AF = 1.368095733867073e-6; genome AF unavailable. PM2_Supporting not assigned because ancestry-level counts/frequencies and quality information were not supplied. Missing AF is not zero. [7, 22, 23]</t>
  </si>
  <si>
    <t>tolerated</t>
  </si>
  <si>
    <t>NA (not available in project output)</t>
  </si>
  <si>
    <t>BS3_Supporting; BP4_Moderate. [22, 26, 27]</t>
  </si>
  <si>
    <t>BS3_Supporting: Supporting (−1 point). BP4_Moderate: Moderate (−2 points). Total = −3. [22]</t>
  </si>
  <si>
    <t>ClinGen Table S3 reports M169V as partially functional in Kato and noLOF in Funk, Giacomelli and Kotler (BS3_Supporting). Table S2 reports aGVGD C0, BayesDel −0.0177298 and SpliceAI 0 (BP4_Moderate). [26, 27]</t>
  </si>
  <si>
    <t>The functional results support BS3_Supporting (−1). BayesDel, aGVGD and SpliceAI meet BP4_Moderate (−2). The total of −3 supports Likely Benign under TP53 v2.4. SIFT was not counted separately; PM2 was not assigned from aggregate AF alone. [22, 26, 27]</t>
  </si>
  <si>
    <t>ACMG/AMP [5]; VEP [6]; gnomAD [7]; ClinGen TP53 v2.4 [22]; project annotation tables [23, 24]; functional Table S3 [26]; bioinformatic Table S2 [27]. ClinVar [21]: external comparison only.</t>
  </si>
  <si>
    <t>ClinGen supplemental codes are preliminary and were checked against TP53 rule conditions. SpliceAI is predictive, not an RNA assay. No case-level evidence was scored. Additional evidence could change the assessment. [22, 26, 27]</t>
  </si>
  <si>
    <t>Likely Benign. BS3_Supporting (−1) + BP4_Moderate (−2) = −3 points under ClinGen TP53 v2.4. [22, 26, 27]</t>
  </si>
  <si>
    <t>ClinVar project snapshot reports VUS. The project assessment is Likely Benign based on reviewed ClinGen functional and computational evidence. ClinVar was used only for comparison. [21, 22, 26, 27]</t>
  </si>
  <si>
    <t>[19] National Center for Biotechnology Information (NCBI). (n.d.). ClinVar: TP53 Variation ID 372539. Available at: https://www.ncbi.nlm.nih.gov/clinvar/variation/372539/</t>
  </si>
  <si>
    <t>[20] National Center for Biotechnology Information (NCBI). (n.d.). ClinVar: TP53 Variation ID 1066207. Available at: https://www.ncbi.nlm.nih.gov/clinvar/variation/1066207/</t>
  </si>
  <si>
    <t>[21] National Center for Biotechnology Information (NCBI). (n.d.). ClinVar: TP53 Variation ID 844926. Available at: https://www.ncbi.nlm.nih.gov/clinvar/variation/844926/</t>
  </si>
  <si>
    <t>[22] ClinGen TP53 Variant Curation Expert Panel. (n.d.). ClinGen TP53 Expert Panel specifications to the ACMG/AMP variant interpretation guidelines for TP53 (Version 2.4; GN009). Clinical Genome Resource. Retrieved October 24, 2026, from https://cspec.genome.network/cspec/ui/svi/svi/GN009</t>
  </si>
  <si>
    <t>[23] Graduation project team. (n.d.). Variant Prioritization + Scoring Final A [Unpublished project dataset and methodology]. Supplied ZIP archive. Sources: input/final_annotation_with_VEP_SIFT_PolyPhen.tsv; results/11_merged_VEP_ClinVar_gnomAD_CORRECTED.tsv; results/14_gnomad_r3_final_review.tsv; results/prioritized_variants_CORRECTED.tsv; docs/variant_prioritization_methods.md. Scores represent educational prioritization, not independent ACMG/AMP classifications.</t>
  </si>
  <si>
    <t>[24] Graduation project team. (n.d.). Graduation_Project_Final [Unpublished project annotation dataset]. Supplied ZIP archive. Sources: results/tables/clinvar_annotations.tsv; results/tables/final_annotation_with_VEP.tsv. ClinVar assertions are the project snapshots, not a live database reassessment.</t>
  </si>
  <si>
    <t>[25] ClinGen TP53 Variant Curation Expert Panel. (n.d.). PVS1 flowchart for TP53 null variants in relation to NM_000546.6 [Flowchart, Version 2.4 supporting file]. Clinical Genome Resource. https://cspec.genome.network/cspec/File/id/a59085f9-6c52-4c36-9c42-159f3f2c3694/data</t>
  </si>
  <si>
    <t>[26] ClinGen TP53 Variant Curation Expert Panel. (n.d.). Supplementary Table S3: Functional results for selected assays and corresponding preliminary PS3 and BS3 codes for every possible p53 missense variant using the TP53 specifications v2 [Data set]. Clinical Genome Resource. https://cspec.genome.network/cspec/File/id/f7b4de92-567a-497d-a8db-0f673c8bb36c/data</t>
  </si>
  <si>
    <t>[27] ClinGen TP53 Variant Curation Expert Panel. (n.d.). Supplementary Table S2: Bioinformatic predictions and corresponding PP3 and BP4 codes for every possible p53 missense variant using the TP53 specifications v2 [Data set]. Clinical Genome Resource. https://cspec.genome.network/cspec/File/id/f24d9c2f-5cb4-4c1a-bdf6-7d73331fc77b/data</t>
  </si>
  <si>
    <t>16:23603570 AA&gt;GAG</t>
  </si>
  <si>
    <t>NM_024675.4:c.3448_3450delinsTT; p.Leu1150PhefsTer13</t>
  </si>
  <si>
    <t>gnomAD status: NOT_FOUND; genome and exome AF recorded as . (no frequency values reported)</t>
  </si>
  <si>
    <t>Not applicable (frameshift variant)</t>
  </si>
  <si>
    <t>VEP consequence: frameshift_variant;                    impact: HIGH</t>
  </si>
  <si>
    <t>PVS1</t>
  </si>
  <si>
    <t>Very Strong</t>
  </si>
  <si>
    <t>The variant introduces a frameshift and premature termination codon (p.Leu1150PhefsTer13), consistent with PALB2 loss‑of‑function mechanism.</t>
  </si>
  <si>
    <t>PALB2 is a tumor‑suppressor gene where loss‑of‑function is an established disease mechanism. Frameshift variants upstream of the final exon are predicted to undergo NMD. This deletion‑insertion disrupts coding sequence and produces a truncated protein.</t>
  </si>
  <si>
    <t>gnomAD “NOT_FOUND” does not confirm absence; no functional assay available for this exact variant.</t>
  </si>
  <si>
    <t>Pathogenic (PVS1 Very Strong)</t>
  </si>
  <si>
    <t>ClinVar reports Likely pathogenic; project classification is Pathogenic based on PVS1 Very Strong.</t>
  </si>
  <si>
    <t>16:23603589 G&gt;A</t>
  </si>
  <si>
    <t>NM_024675.4:c.3431T&gt;C; p.Leu1144Pro</t>
  </si>
  <si>
    <t>Uncertain significance; criteria provided, single submitter</t>
  </si>
  <si>
    <t>Exome AF ≈ 5.6840497e‑05; Genome AF “.”; Status: FOUND (very low frequency)</t>
  </si>
  <si>
    <t>probably damaging</t>
  </si>
  <si>
    <t>PM2</t>
  </si>
  <si>
    <t>Variant observed at extremely low frequency in gnomAD exomes.</t>
  </si>
  <si>
    <t>Rarity supports pathogenicity under ACMG/AMP PM2‑Supporting, but does not independently establish disease association.</t>
  </si>
  <si>
    <t>No functional evidence; no segregation data; rarity alone insufficient for LP/P.</t>
  </si>
  <si>
    <t>VUS</t>
  </si>
  <si>
    <t>ClinVar = VUS; project classification = VUS (agreement).</t>
  </si>
  <si>
    <t>16:23603505 C&gt;A</t>
  </si>
  <si>
    <t>NM_024675.4:c.3515T&gt;G; p.Leu1172Arg</t>
  </si>
  <si>
    <t>Genome AF: “.”; Exome AF: “.”; Status: NOT_FOUND (missing ≠ zero)</t>
  </si>
  <si>
    <t>PP3</t>
  </si>
  <si>
    <t>Both SIFT and PolyPhen‑2 predict a damaging effect for p.Leu1172Arg.</t>
  </si>
  <si>
    <t>Computational evidence suggests a deleterious impact on PALB2 protein structure; however, computational evidence alone cannot establish pathogenicity.</t>
  </si>
  <si>
    <t>No functional assay available; ClinVar classifies the variant as VUS; computational predictions are supporting only.</t>
  </si>
  <si>
    <t>ClinVar reports VUS; project classification agrees (VUS).</t>
  </si>
  <si>
    <t>[28] National Center for Biotechnology Information (NCBI). (n.d.). ClinVar: PALB2 Variation ID 1731521.  https://www.ncbi.nlm.nih.gov/clinvar/variation/1731521/ (ncbi.nlm.nih.gov in Bing)</t>
  </si>
  <si>
    <t>[29] National Center for Biotechnology Information (NCBI). (n.d.). ClinVar: PALB2 Variation ID 628361.</t>
  </si>
  <si>
    <t>[30] Broad Institute. (n.d.). gnomAD: The Genome Aggregation Database.  https://gnomad.broadinstitute.org/</t>
  </si>
  <si>
    <t>[31] National Center for Biotechnology Information (NCBI). (n.d.). ClinVar: PALB2 Variation ID 1372173. https://www.ncbi.nlm.nih.gov/clinvar/variation/1372173/ (ncbi.nlm.nih.gov in Bing)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</si>
</sst>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rial"/>
      <family val="2"/>
      <scheme val="minor"/>
    </font>
    <font>
      <b/>
      <sz val="15"/>
      <color rgb="FFFFFFFF"/>
      <name val="Calibri"/>
      <family val="2"/>
    </font>
    <font>
      <i/>
      <sz val="10"/>
      <color rgb="FF404040"/>
      <name val="Calibri"/>
      <family val="2"/>
    </font>
    <font>
      <b/>
      <sz val="10"/>
      <color rgb="FFFFFFFF"/>
      <name val="Calibri"/>
      <family val="2"/>
    </font>
    <font>
      <b/>
      <sz val="11"/>
      <color rgb="FF1F1F1F"/>
      <name val="Calibri"/>
      <family val="2"/>
    </font>
    <font>
      <sz val="11"/>
      <color rgb="FF000000"/>
      <name val="Arial"/>
      <family val="2"/>
      <scheme val="minor"/>
    </font>
    <font>
      <sz val="10"/>
      <color rgb="FF000000"/>
      <name val="Arial Unicode MS"/>
      <family val="2"/>
    </font>
    <font>
      <sz val="11"/>
      <color rgb="FF000000"/>
      <name val="-webkit-standard"/>
    </font>
    <font>
      <sz val="8"/>
      <name val="Arial"/>
      <family val="2"/>
      <scheme val="minor"/>
    </font>
    <font>
      <b/>
      <sz val="11"/>
      <color theme="1"/>
      <name val="Arial"/>
      <family val="2"/>
      <scheme val="minor"/>
    </font>
    <font>
      <b/>
      <sz val="14"/>
      <color theme="1" tint="4.9989318521683403E-2"/>
      <name val="Arial"/>
      <family val="2"/>
      <scheme val="minor"/>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4472C4"/>
      </patternFill>
    </fill>
    <fill>
      <patternFill patternType="solid">
        <fgColor rgb="FFEAF2F8"/>
      </patternFill>
    </fill>
    <fill>
      <patternFill patternType="solid">
        <fgColor rgb="FFF8FBFD"/>
      </patternFill>
    </fill>
    <fill>
      <patternFill patternType="solid">
        <fgColor rgb="FFFFFFFF"/>
      </patternFill>
    </fill>
  </fills>
  <borders count="4">
    <border>
      <left/>
      <right/>
      <top/>
      <bottom/>
      <diagonal/>
    </border>
    <border>
      <left style="thin">
        <color rgb="FFD9E1F2"/>
      </left>
      <right style="thin">
        <color rgb="FFD9E1F2"/>
      </right>
      <top style="thin">
        <color rgb="FFD9E1F2"/>
      </top>
      <bottom style="thin">
        <color rgb="FFD9E1F2"/>
      </bottom>
      <diagonal/>
    </border>
    <border>
      <left/>
      <right/>
      <top/>
      <bottom style="thin">
        <color rgb="FFD9E1F2"/>
      </bottom>
      <diagonal/>
    </border>
    <border>
      <left style="thin">
        <color rgb="FFD9E1F2"/>
      </left>
      <right style="thin">
        <color rgb="FFD9E1F2"/>
      </right>
      <top/>
      <bottom/>
      <diagonal/>
    </border>
  </borders>
  <cellStyleXfs count="1">
    <xf numFmtId="0" fontId="0" fillId="0" borderId="0"/>
  </cellStyleXfs>
  <cellXfs count="21">
    <xf numFmtId="0" fontId="0" fillId="0" borderId="0" xfId="0"/>
    <xf numFmtId="0" fontId="3" fillId="4" borderId="0" xfId="0" applyFont="1" applyFill="1" applyAlignment="1">
      <alignment horizontal="center" vertical="center" wrapText="1"/>
    </xf>
    <xf numFmtId="0" fontId="0" fillId="5" borderId="1" xfId="0" applyFill="1" applyBorder="1" applyAlignment="1">
      <alignment horizontal="left" vertical="top" wrapText="1"/>
    </xf>
    <xf numFmtId="49" fontId="0" fillId="5" borderId="1" xfId="0" applyNumberFormat="1" applyFill="1" applyBorder="1" applyAlignment="1">
      <alignment horizontal="left" vertical="top" wrapText="1"/>
    </xf>
    <xf numFmtId="0" fontId="0" fillId="0" borderId="1" xfId="0" applyBorder="1" applyAlignment="1">
      <alignment horizontal="left" vertical="top" wrapText="1"/>
    </xf>
    <xf numFmtId="0" fontId="4" fillId="3" borderId="2" xfId="0" applyFont="1" applyFill="1" applyBorder="1" applyAlignment="1">
      <alignment vertical="top" wrapText="1"/>
    </xf>
    <xf numFmtId="0" fontId="0" fillId="6" borderId="2" xfId="0" applyFill="1" applyBorder="1" applyAlignment="1">
      <alignment vertical="top" wrapText="1"/>
    </xf>
    <xf numFmtId="0" fontId="0" fillId="7" borderId="2" xfId="0" applyFill="1" applyBorder="1" applyAlignment="1">
      <alignment vertical="top" wrapText="1"/>
    </xf>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0" fillId="0" borderId="0" xfId="0" applyAlignment="1">
      <alignment wrapText="1"/>
    </xf>
    <xf numFmtId="0" fontId="10" fillId="0" borderId="0" xfId="0" applyFont="1" applyAlignment="1">
      <alignment wrapText="1"/>
    </xf>
    <xf numFmtId="0" fontId="9" fillId="0" borderId="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3" xfId="0" applyBorder="1" applyAlignment="1">
      <alignment horizontal="left" vertical="top" wrapText="1"/>
    </xf>
    <xf numFmtId="0" fontId="2" fillId="3" borderId="0" xfId="0" applyFont="1" applyFill="1" applyAlignment="1">
      <alignment vertical="center" wrapText="1"/>
    </xf>
    <xf numFmtId="0" fontId="0" fillId="0" borderId="0" xfId="0"/>
    <xf numFmtId="0" fontId="1" fillId="2" borderId="0" xfId="0" applyFont="1" applyFill="1" applyAlignment="1">
      <alignment horizontal="center" vertical="center"/>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cbi.nlm.nih.gov/clinvar/variation/46902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9"/>
  <sheetViews>
    <sheetView showGridLines="0" tabSelected="1" topLeftCell="O14" zoomScale="64" zoomScaleNormal="25" workbookViewId="0">
      <selection activeCell="R16" sqref="R16"/>
    </sheetView>
  </sheetViews>
  <sheetFormatPr defaultColWidth="8.796875" defaultRowHeight="13.8"/>
  <cols>
    <col min="1" max="1" width="14" customWidth="1"/>
    <col min="2" max="2" width="16" customWidth="1"/>
    <col min="3" max="3" width="34" customWidth="1"/>
    <col min="4" max="4" width="28" customWidth="1"/>
    <col min="5" max="5" width="24" customWidth="1"/>
    <col min="6" max="6" width="30" customWidth="1"/>
    <col min="7" max="7" width="38" customWidth="1"/>
    <col min="8" max="8" width="28" customWidth="1"/>
    <col min="9" max="9" width="22" customWidth="1"/>
    <col min="10" max="11" width="24" customWidth="1"/>
    <col min="12" max="12" width="22" customWidth="1"/>
    <col min="13" max="13" width="38" customWidth="1"/>
    <col min="14" max="14" width="40" customWidth="1"/>
    <col min="15" max="15" width="41.69921875" customWidth="1"/>
    <col min="16" max="16" width="38" customWidth="1"/>
    <col min="17" max="17" width="30" customWidth="1"/>
    <col min="18" max="18" width="32" customWidth="1"/>
  </cols>
  <sheetData>
    <row r="1" spans="1:18" ht="19.8">
      <c r="A1" s="20" t="s">
        <v>0</v>
      </c>
      <c r="B1" s="19"/>
      <c r="C1" s="19"/>
      <c r="D1" s="19"/>
      <c r="E1" s="19"/>
      <c r="F1" s="19"/>
      <c r="G1" s="19"/>
      <c r="H1" s="19"/>
      <c r="I1" s="19"/>
      <c r="J1" s="19"/>
      <c r="K1" s="19"/>
      <c r="L1" s="19"/>
      <c r="M1" s="19"/>
      <c r="N1" s="19"/>
      <c r="O1" s="19"/>
      <c r="P1" s="19"/>
      <c r="Q1" s="19"/>
      <c r="R1" s="19"/>
    </row>
    <row r="2" spans="1:18">
      <c r="A2" s="18" t="s">
        <v>124</v>
      </c>
      <c r="B2" s="19"/>
      <c r="C2" s="19"/>
      <c r="D2" s="19"/>
      <c r="E2" s="19"/>
      <c r="F2" s="19"/>
      <c r="G2" s="19"/>
      <c r="H2" s="19"/>
      <c r="I2" s="19"/>
      <c r="J2" s="19"/>
      <c r="K2" s="19"/>
      <c r="L2" s="19"/>
      <c r="M2" s="19"/>
      <c r="N2" s="19"/>
      <c r="O2" s="19"/>
      <c r="P2" s="19"/>
      <c r="Q2" s="19"/>
      <c r="R2" s="19"/>
    </row>
    <row r="4" spans="1:18" ht="27.6">
      <c r="A4" s="1" t="s">
        <v>1</v>
      </c>
      <c r="B4" s="1" t="s">
        <v>2</v>
      </c>
      <c r="C4" s="1" t="s">
        <v>3</v>
      </c>
      <c r="D4" s="1" t="s">
        <v>4</v>
      </c>
      <c r="E4" s="1" t="s">
        <v>5</v>
      </c>
      <c r="F4" s="1" t="s">
        <v>6</v>
      </c>
      <c r="G4" s="1" t="s">
        <v>7</v>
      </c>
      <c r="H4" s="1" t="s">
        <v>8</v>
      </c>
      <c r="I4" s="1" t="s">
        <v>9</v>
      </c>
      <c r="J4" s="1" t="s">
        <v>10</v>
      </c>
      <c r="K4" s="1" t="s">
        <v>11</v>
      </c>
      <c r="L4" s="1" t="s">
        <v>12</v>
      </c>
      <c r="M4" s="1" t="s">
        <v>13</v>
      </c>
      <c r="N4" s="1" t="s">
        <v>14</v>
      </c>
      <c r="O4" s="1" t="s">
        <v>15</v>
      </c>
      <c r="P4" s="1" t="s">
        <v>16</v>
      </c>
      <c r="Q4" s="1" t="s">
        <v>17</v>
      </c>
      <c r="R4" s="1" t="s">
        <v>18</v>
      </c>
    </row>
    <row r="5" spans="1:18" ht="138">
      <c r="A5" s="2" t="s">
        <v>19</v>
      </c>
      <c r="B5" s="3" t="s">
        <v>20</v>
      </c>
      <c r="C5" s="4" t="s">
        <v>58</v>
      </c>
      <c r="D5" s="4" t="s">
        <v>71</v>
      </c>
      <c r="E5" s="4" t="s">
        <v>98</v>
      </c>
      <c r="F5" s="4" t="s">
        <v>59</v>
      </c>
      <c r="G5" s="4" t="s">
        <v>74</v>
      </c>
      <c r="H5" s="4" t="s">
        <v>77</v>
      </c>
      <c r="I5" s="4" t="s">
        <v>86</v>
      </c>
      <c r="J5" s="4" t="s">
        <v>88</v>
      </c>
      <c r="K5" s="4" t="s">
        <v>100</v>
      </c>
      <c r="L5" s="4" t="s">
        <v>61</v>
      </c>
      <c r="M5" s="4" t="s">
        <v>70</v>
      </c>
      <c r="N5" s="4" t="s">
        <v>62</v>
      </c>
      <c r="O5" s="4" t="s">
        <v>75</v>
      </c>
      <c r="P5" s="4" t="s">
        <v>63</v>
      </c>
      <c r="Q5" s="4" t="s">
        <v>64</v>
      </c>
      <c r="R5" s="4" t="s">
        <v>65</v>
      </c>
    </row>
    <row r="6" spans="1:18" ht="248.4">
      <c r="A6" s="2" t="s">
        <v>19</v>
      </c>
      <c r="B6" s="3" t="s">
        <v>21</v>
      </c>
      <c r="C6" s="4" t="s">
        <v>66</v>
      </c>
      <c r="D6" s="4" t="s">
        <v>67</v>
      </c>
      <c r="E6" s="4" t="s">
        <v>99</v>
      </c>
      <c r="F6" s="4" t="s">
        <v>68</v>
      </c>
      <c r="G6" s="4" t="s">
        <v>60</v>
      </c>
      <c r="H6" s="4" t="s">
        <v>69</v>
      </c>
      <c r="I6" s="4" t="s">
        <v>87</v>
      </c>
      <c r="J6" s="4" t="s">
        <v>94</v>
      </c>
      <c r="K6" s="4" t="s">
        <v>101</v>
      </c>
      <c r="L6" s="4" t="s">
        <v>126</v>
      </c>
      <c r="M6" s="4" t="s">
        <v>104</v>
      </c>
      <c r="N6" s="4" t="s">
        <v>90</v>
      </c>
      <c r="O6" s="4" t="s">
        <v>76</v>
      </c>
      <c r="P6" s="4" t="s">
        <v>73</v>
      </c>
      <c r="Q6" s="4" t="s">
        <v>105</v>
      </c>
      <c r="R6" s="4" t="s">
        <v>72</v>
      </c>
    </row>
    <row r="7" spans="1:18" ht="367.95" customHeight="1">
      <c r="A7" s="2" t="s">
        <v>19</v>
      </c>
      <c r="B7" s="3" t="s">
        <v>22</v>
      </c>
      <c r="C7" s="4" t="s">
        <v>91</v>
      </c>
      <c r="D7" s="4" t="s">
        <v>92</v>
      </c>
      <c r="E7" s="4" t="s">
        <v>196</v>
      </c>
      <c r="F7" s="4" t="s">
        <v>95</v>
      </c>
      <c r="G7" s="4" t="s">
        <v>96</v>
      </c>
      <c r="H7" s="4" t="s">
        <v>121</v>
      </c>
      <c r="I7" s="4" t="s">
        <v>97</v>
      </c>
      <c r="J7" s="4" t="s">
        <v>93</v>
      </c>
      <c r="K7" s="14" t="s">
        <v>106</v>
      </c>
      <c r="L7" s="14" t="s">
        <v>107</v>
      </c>
      <c r="M7" s="4" t="s">
        <v>108</v>
      </c>
      <c r="N7" s="4" t="s">
        <v>122</v>
      </c>
      <c r="O7" s="4" t="s">
        <v>123</v>
      </c>
      <c r="P7" s="4" t="s">
        <v>125</v>
      </c>
      <c r="Q7" s="4" t="s">
        <v>109</v>
      </c>
      <c r="R7" s="4" t="s">
        <v>110</v>
      </c>
    </row>
    <row r="8" spans="1:18" s="16" customFormat="1" ht="331.5" customHeight="1">
      <c r="A8" s="2" t="s">
        <v>19</v>
      </c>
      <c r="B8" s="3" t="s">
        <v>23</v>
      </c>
      <c r="C8" s="4" t="s">
        <v>165</v>
      </c>
      <c r="D8" s="16" t="s">
        <v>166</v>
      </c>
      <c r="E8" s="16" t="s">
        <v>52</v>
      </c>
      <c r="F8" s="16" t="s">
        <v>167</v>
      </c>
      <c r="G8" s="16" t="s">
        <v>174</v>
      </c>
      <c r="H8" s="16" t="s">
        <v>175</v>
      </c>
      <c r="I8" s="16" t="s">
        <v>176</v>
      </c>
      <c r="J8" s="16" t="s">
        <v>177</v>
      </c>
      <c r="K8" s="16" t="s">
        <v>178</v>
      </c>
      <c r="L8" s="16" t="s">
        <v>179</v>
      </c>
      <c r="M8" s="16" t="s">
        <v>180</v>
      </c>
      <c r="N8" s="16" t="s">
        <v>181</v>
      </c>
      <c r="O8" s="4" t="s">
        <v>195</v>
      </c>
      <c r="P8" s="16" t="s">
        <v>182</v>
      </c>
      <c r="Q8" s="16" t="s">
        <v>182</v>
      </c>
      <c r="R8" s="16" t="s">
        <v>183</v>
      </c>
    </row>
    <row r="9" spans="1:18" s="16" customFormat="1" ht="343.95" customHeight="1">
      <c r="A9" s="2" t="s">
        <v>24</v>
      </c>
      <c r="B9" s="3" t="s">
        <v>25</v>
      </c>
      <c r="C9" s="16" t="s">
        <v>168</v>
      </c>
      <c r="D9" s="16" t="s">
        <v>169</v>
      </c>
      <c r="E9" s="16" t="s">
        <v>48</v>
      </c>
      <c r="F9" s="16" t="s">
        <v>170</v>
      </c>
      <c r="G9" s="4" t="s">
        <v>184</v>
      </c>
      <c r="H9" s="4" t="s">
        <v>185</v>
      </c>
      <c r="I9" s="16" t="s">
        <v>186</v>
      </c>
      <c r="J9" s="16" t="s">
        <v>186</v>
      </c>
      <c r="K9" s="16" t="s">
        <v>199</v>
      </c>
      <c r="L9" s="16" t="s">
        <v>200</v>
      </c>
      <c r="M9" s="16" t="s">
        <v>201</v>
      </c>
      <c r="N9" s="16" t="s">
        <v>187</v>
      </c>
      <c r="O9" s="16" t="s">
        <v>197</v>
      </c>
      <c r="P9" s="16" t="s">
        <v>188</v>
      </c>
      <c r="Q9" s="16" t="s">
        <v>189</v>
      </c>
      <c r="R9" s="16" t="s">
        <v>190</v>
      </c>
    </row>
    <row r="10" spans="1:18" s="16" customFormat="1" ht="298.05" customHeight="1">
      <c r="A10" s="2" t="s">
        <v>24</v>
      </c>
      <c r="B10" s="3" t="s">
        <v>26</v>
      </c>
      <c r="C10" s="16" t="s">
        <v>171</v>
      </c>
      <c r="D10" s="16" t="s">
        <v>172</v>
      </c>
      <c r="E10" s="16" t="s">
        <v>48</v>
      </c>
      <c r="F10" s="16" t="s">
        <v>173</v>
      </c>
      <c r="G10" s="16" t="s">
        <v>184</v>
      </c>
      <c r="H10" s="16" t="s">
        <v>185</v>
      </c>
      <c r="I10" s="16" t="s">
        <v>186</v>
      </c>
      <c r="J10" s="16" t="s">
        <v>186</v>
      </c>
      <c r="K10" s="16" t="s">
        <v>199</v>
      </c>
      <c r="L10" s="16" t="s">
        <v>200</v>
      </c>
      <c r="M10" s="16" t="s">
        <v>202</v>
      </c>
      <c r="N10" s="16" t="s">
        <v>191</v>
      </c>
      <c r="O10" s="16" t="s">
        <v>198</v>
      </c>
      <c r="P10" s="16" t="s">
        <v>192</v>
      </c>
      <c r="Q10" s="16" t="s">
        <v>193</v>
      </c>
      <c r="R10" s="16" t="s">
        <v>194</v>
      </c>
    </row>
    <row r="11" spans="1:18" ht="409.6">
      <c r="A11" s="2" t="s">
        <v>24</v>
      </c>
      <c r="B11" s="3" t="s">
        <v>27</v>
      </c>
      <c r="C11" s="4" t="s">
        <v>49</v>
      </c>
      <c r="D11" s="9" t="s">
        <v>57</v>
      </c>
      <c r="E11" s="4" t="s">
        <v>48</v>
      </c>
      <c r="F11" s="10" t="s">
        <v>132</v>
      </c>
      <c r="G11" s="4" t="s">
        <v>127</v>
      </c>
      <c r="H11" s="4" t="s">
        <v>128</v>
      </c>
      <c r="I11" s="4" t="s">
        <v>50</v>
      </c>
      <c r="J11" s="4" t="s">
        <v>50</v>
      </c>
      <c r="K11" s="11" t="s">
        <v>129</v>
      </c>
      <c r="L11" s="10" t="s">
        <v>130</v>
      </c>
      <c r="M11" s="4" t="s">
        <v>150</v>
      </c>
      <c r="N11" s="4" t="s">
        <v>131</v>
      </c>
      <c r="O11" s="12" t="s">
        <v>162</v>
      </c>
      <c r="P11" s="4" t="s">
        <v>153</v>
      </c>
      <c r="Q11" s="4" t="s">
        <v>154</v>
      </c>
      <c r="R11" s="4" t="s">
        <v>155</v>
      </c>
    </row>
    <row r="12" spans="1:18" ht="276">
      <c r="A12" s="2" t="s">
        <v>24</v>
      </c>
      <c r="B12" s="3" t="s">
        <v>28</v>
      </c>
      <c r="C12" s="4" t="s">
        <v>53</v>
      </c>
      <c r="D12" s="4" t="s">
        <v>51</v>
      </c>
      <c r="E12" s="4" t="s">
        <v>52</v>
      </c>
      <c r="F12" s="4" t="s">
        <v>133</v>
      </c>
      <c r="G12" s="4" t="s">
        <v>134</v>
      </c>
      <c r="H12" s="4" t="s">
        <v>135</v>
      </c>
      <c r="I12" s="4" t="s">
        <v>136</v>
      </c>
      <c r="J12" s="4" t="s">
        <v>137</v>
      </c>
      <c r="K12" s="4" t="s">
        <v>138</v>
      </c>
      <c r="L12" s="4" t="s">
        <v>139</v>
      </c>
      <c r="M12" s="4" t="s">
        <v>151</v>
      </c>
      <c r="N12" s="4" t="s">
        <v>140</v>
      </c>
      <c r="O12" s="4" t="s">
        <v>164</v>
      </c>
      <c r="P12" s="4" t="s">
        <v>156</v>
      </c>
      <c r="Q12" s="4" t="s">
        <v>157</v>
      </c>
      <c r="R12" s="4" t="s">
        <v>158</v>
      </c>
    </row>
    <row r="13" spans="1:18" ht="276">
      <c r="A13" s="2" t="s">
        <v>29</v>
      </c>
      <c r="B13" s="3" t="s">
        <v>30</v>
      </c>
      <c r="C13" s="4" t="s">
        <v>54</v>
      </c>
      <c r="D13" s="8" t="s">
        <v>56</v>
      </c>
      <c r="E13" s="4" t="s">
        <v>48</v>
      </c>
      <c r="F13" s="4" t="s">
        <v>141</v>
      </c>
      <c r="G13" s="4" t="s">
        <v>142</v>
      </c>
      <c r="H13" s="9" t="s">
        <v>128</v>
      </c>
      <c r="I13" s="4" t="s">
        <v>55</v>
      </c>
      <c r="J13" s="4" t="s">
        <v>55</v>
      </c>
      <c r="K13" s="4" t="s">
        <v>143</v>
      </c>
      <c r="L13" s="4" t="s">
        <v>144</v>
      </c>
      <c r="M13" s="4" t="s">
        <v>152</v>
      </c>
      <c r="N13" s="4" t="s">
        <v>145</v>
      </c>
      <c r="O13" s="4" t="s">
        <v>163</v>
      </c>
      <c r="P13" s="4" t="s">
        <v>159</v>
      </c>
      <c r="Q13" s="4" t="s">
        <v>160</v>
      </c>
      <c r="R13" s="4" t="s">
        <v>161</v>
      </c>
    </row>
    <row r="14" spans="1:18" ht="177" customHeight="1">
      <c r="A14" s="2" t="s">
        <v>29</v>
      </c>
      <c r="B14" s="3" t="s">
        <v>31</v>
      </c>
      <c r="C14" s="4" t="s">
        <v>265</v>
      </c>
      <c r="D14" s="4" t="s">
        <v>266</v>
      </c>
      <c r="E14" s="4" t="s">
        <v>98</v>
      </c>
      <c r="F14" s="4" t="s">
        <v>232</v>
      </c>
      <c r="G14" s="4" t="s">
        <v>267</v>
      </c>
      <c r="H14" s="4" t="s">
        <v>269</v>
      </c>
      <c r="I14" s="4" t="s">
        <v>268</v>
      </c>
      <c r="J14" s="4" t="s">
        <v>268</v>
      </c>
      <c r="K14" s="4" t="s">
        <v>270</v>
      </c>
      <c r="L14" s="17" t="s">
        <v>271</v>
      </c>
      <c r="M14" s="4" t="s">
        <v>272</v>
      </c>
      <c r="N14" s="4" t="s">
        <v>273</v>
      </c>
      <c r="O14" s="4" t="s">
        <v>210</v>
      </c>
      <c r="P14" s="4" t="s">
        <v>274</v>
      </c>
      <c r="Q14" s="4" t="s">
        <v>275</v>
      </c>
      <c r="R14" s="4" t="s">
        <v>276</v>
      </c>
    </row>
    <row r="15" spans="1:18" ht="69">
      <c r="A15" s="2" t="s">
        <v>29</v>
      </c>
      <c r="B15" s="3" t="s">
        <v>32</v>
      </c>
      <c r="C15" s="4" t="s">
        <v>277</v>
      </c>
      <c r="D15" s="4" t="s">
        <v>278</v>
      </c>
      <c r="E15" s="4" t="s">
        <v>208</v>
      </c>
      <c r="F15" s="4" t="s">
        <v>279</v>
      </c>
      <c r="G15" s="4" t="s">
        <v>280</v>
      </c>
      <c r="H15" s="4" t="s">
        <v>207</v>
      </c>
      <c r="I15" s="4" t="s">
        <v>213</v>
      </c>
      <c r="J15" s="4" t="s">
        <v>281</v>
      </c>
      <c r="K15" s="4" t="s">
        <v>282</v>
      </c>
      <c r="L15" s="4" t="s">
        <v>209</v>
      </c>
      <c r="M15" s="4" t="s">
        <v>283</v>
      </c>
      <c r="N15" s="4" t="s">
        <v>284</v>
      </c>
      <c r="O15" s="4" t="s">
        <v>210</v>
      </c>
      <c r="P15" s="4" t="s">
        <v>285</v>
      </c>
      <c r="Q15" s="4" t="s">
        <v>286</v>
      </c>
      <c r="R15" s="4" t="s">
        <v>287</v>
      </c>
    </row>
    <row r="16" spans="1:18" ht="130.80000000000001" customHeight="1">
      <c r="A16" s="2" t="s">
        <v>29</v>
      </c>
      <c r="B16" s="3" t="s">
        <v>33</v>
      </c>
      <c r="C16" s="4" t="s">
        <v>288</v>
      </c>
      <c r="D16" s="4" t="s">
        <v>289</v>
      </c>
      <c r="E16" s="4" t="s">
        <v>208</v>
      </c>
      <c r="F16" s="4" t="s">
        <v>211</v>
      </c>
      <c r="G16" s="4" t="s">
        <v>290</v>
      </c>
      <c r="H16" s="4" t="s">
        <v>212</v>
      </c>
      <c r="I16" s="4" t="s">
        <v>213</v>
      </c>
      <c r="J16" s="4" t="s">
        <v>214</v>
      </c>
      <c r="K16" s="4" t="s">
        <v>291</v>
      </c>
      <c r="L16" s="4" t="s">
        <v>209</v>
      </c>
      <c r="M16" s="4" t="s">
        <v>292</v>
      </c>
      <c r="N16" s="4" t="s">
        <v>293</v>
      </c>
      <c r="O16" s="4" t="s">
        <v>215</v>
      </c>
      <c r="P16" s="4" t="s">
        <v>294</v>
      </c>
      <c r="Q16" s="4" t="s">
        <v>286</v>
      </c>
      <c r="R16" s="4" t="s">
        <v>295</v>
      </c>
    </row>
    <row r="17" spans="1:18" ht="96.6">
      <c r="A17" s="2" t="s">
        <v>34</v>
      </c>
      <c r="B17" s="3" t="s">
        <v>35</v>
      </c>
      <c r="C17" s="4" t="s">
        <v>216</v>
      </c>
      <c r="D17" s="4" t="s">
        <v>217</v>
      </c>
      <c r="E17" s="4" t="s">
        <v>98</v>
      </c>
      <c r="F17" s="4" t="s">
        <v>218</v>
      </c>
      <c r="G17" s="4" t="s">
        <v>219</v>
      </c>
      <c r="H17" s="4" t="s">
        <v>220</v>
      </c>
      <c r="I17" s="4" t="s">
        <v>221</v>
      </c>
      <c r="J17" s="4" t="s">
        <v>221</v>
      </c>
      <c r="K17" s="4" t="s">
        <v>222</v>
      </c>
      <c r="L17" s="4" t="s">
        <v>223</v>
      </c>
      <c r="M17" s="4" t="s">
        <v>224</v>
      </c>
      <c r="N17" s="4" t="s">
        <v>225</v>
      </c>
      <c r="O17" s="4" t="s">
        <v>226</v>
      </c>
      <c r="P17" s="4" t="s">
        <v>227</v>
      </c>
      <c r="Q17" s="4" t="s">
        <v>228</v>
      </c>
      <c r="R17" s="4" t="s">
        <v>229</v>
      </c>
    </row>
    <row r="18" spans="1:18" ht="82.8">
      <c r="A18" s="2" t="s">
        <v>34</v>
      </c>
      <c r="B18" s="3" t="s">
        <v>36</v>
      </c>
      <c r="C18" s="4" t="s">
        <v>230</v>
      </c>
      <c r="D18" s="4" t="s">
        <v>231</v>
      </c>
      <c r="E18" s="4" t="s">
        <v>98</v>
      </c>
      <c r="F18" s="4" t="s">
        <v>232</v>
      </c>
      <c r="G18" s="4" t="s">
        <v>233</v>
      </c>
      <c r="H18" s="4" t="s">
        <v>220</v>
      </c>
      <c r="I18" s="4" t="s">
        <v>221</v>
      </c>
      <c r="J18" s="4" t="s">
        <v>221</v>
      </c>
      <c r="K18" s="4" t="s">
        <v>234</v>
      </c>
      <c r="L18" s="4" t="s">
        <v>235</v>
      </c>
      <c r="M18" s="4" t="s">
        <v>236</v>
      </c>
      <c r="N18" s="4" t="s">
        <v>237</v>
      </c>
      <c r="O18" s="4" t="s">
        <v>238</v>
      </c>
      <c r="P18" s="4" t="s">
        <v>239</v>
      </c>
      <c r="Q18" s="4" t="s">
        <v>240</v>
      </c>
      <c r="R18" s="4" t="s">
        <v>241</v>
      </c>
    </row>
    <row r="19" spans="1:18" ht="82.8">
      <c r="A19" s="2" t="s">
        <v>34</v>
      </c>
      <c r="B19" s="3" t="s">
        <v>37</v>
      </c>
      <c r="C19" s="4" t="s">
        <v>242</v>
      </c>
      <c r="D19" s="4" t="s">
        <v>243</v>
      </c>
      <c r="E19" s="4" t="s">
        <v>208</v>
      </c>
      <c r="F19" s="4" t="s">
        <v>244</v>
      </c>
      <c r="G19" s="4" t="s">
        <v>245</v>
      </c>
      <c r="H19" s="4" t="s">
        <v>212</v>
      </c>
      <c r="I19" s="4" t="s">
        <v>246</v>
      </c>
      <c r="J19" s="4" t="s">
        <v>247</v>
      </c>
      <c r="K19" s="4" t="s">
        <v>248</v>
      </c>
      <c r="L19" s="4" t="s">
        <v>249</v>
      </c>
      <c r="M19" s="4" t="s">
        <v>250</v>
      </c>
      <c r="N19" s="4" t="s">
        <v>251</v>
      </c>
      <c r="O19" s="4" t="s">
        <v>252</v>
      </c>
      <c r="P19" s="4" t="s">
        <v>253</v>
      </c>
      <c r="Q19" s="4" t="s">
        <v>254</v>
      </c>
      <c r="R19" s="4" t="s">
        <v>255</v>
      </c>
    </row>
  </sheetData>
  <autoFilter ref="A4:R19" xr:uid="{00000000-0009-0000-0000-000000000000}"/>
  <mergeCells count="2">
    <mergeCell ref="A2:R2"/>
    <mergeCell ref="A1:R1"/>
  </mergeCells>
  <phoneticPr fontId="8" type="noConversion"/>
  <dataValidations count="3">
    <dataValidation type="list" allowBlank="1" sqref="K12:K500 K5:K7" xr:uid="{00000000-0002-0000-0000-000000000000}">
      <formula1>"PVS1,PS1,PS2,PS3,PS4,PM1,PM2,PM3,PM4,PM5,PM6,PP1,PP2,PP3,PP4,PP5,BA1,BS1,BS2,BS3,BS4,BP1,BP2,BP3,BP4,BP5,BP6,BP7,Other / gene-specific"</formula1>
    </dataValidation>
    <dataValidation type="list" allowBlank="1" sqref="L5:L7 L12:L13 L15:L500" xr:uid="{00000000-0002-0000-0000-000001000000}">
      <formula1>"Very Strong,Strong,Moderate,Supporting,Stand-alone,Not applicable"</formula1>
    </dataValidation>
    <dataValidation type="list" allowBlank="1" sqref="Q5:Q7 Q11:Q500" xr:uid="{00000000-0002-0000-0000-000002000000}">
      <formula1>"Pathogenic,Likely pathogenic,VUS,Likely benign,Benign,Not yet assigned"</formula1>
    </dataValidation>
  </dataValidations>
  <hyperlinks>
    <hyperlink ref="O11" r:id="rId1" display="https://www.ncbi.nlm.nih.gov/clinvar/variation/4690229/" xr:uid="{1F27BB54-F7A4-D74B-9ABA-F2C8DE9372C0}"/>
  </hyperlinks>
  <pageMargins left="0.25" right="0.25" top="0.5" bottom="0.5" header="0.2" footer="0.2"/>
  <pageSetup paperSize="8" fitToHeight="0" orientation="landscape"/>
  <headerFooter>
    <oddFooter>&amp;CACMG/AMP Variant Review Template&amp;RPage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049C-5577-4E8D-8D38-FF8A87E1BF85}">
  <dimension ref="B1:B32"/>
  <sheetViews>
    <sheetView rightToLeft="1" topLeftCell="A15" zoomScale="63" zoomScaleNormal="92" workbookViewId="0">
      <selection activeCell="B32" sqref="B32"/>
    </sheetView>
  </sheetViews>
  <sheetFormatPr defaultColWidth="8.796875" defaultRowHeight="13.8"/>
  <cols>
    <col min="1" max="1" width="64.69921875" customWidth="1"/>
    <col min="2" max="2" width="125.69921875" style="12" customWidth="1"/>
  </cols>
  <sheetData>
    <row r="1" spans="2:2" ht="17.399999999999999">
      <c r="B1" s="13" t="s">
        <v>78</v>
      </c>
    </row>
    <row r="2" spans="2:2" ht="21" customHeight="1">
      <c r="B2" s="12" t="s">
        <v>79</v>
      </c>
    </row>
    <row r="3" spans="2:2" ht="22.05" customHeight="1">
      <c r="B3" s="12" t="s">
        <v>80</v>
      </c>
    </row>
    <row r="4" spans="2:2" ht="19.5" customHeight="1">
      <c r="B4" s="12" t="s">
        <v>81</v>
      </c>
    </row>
    <row r="5" spans="2:2" ht="41.4">
      <c r="B5" s="12" t="s">
        <v>82</v>
      </c>
    </row>
    <row r="6" spans="2:2" ht="41.4">
      <c r="B6" s="12" t="s">
        <v>83</v>
      </c>
    </row>
    <row r="7" spans="2:2" ht="27.6">
      <c r="B7" s="12" t="s">
        <v>89</v>
      </c>
    </row>
    <row r="8" spans="2:2" ht="21.45" customHeight="1">
      <c r="B8" s="12" t="s">
        <v>84</v>
      </c>
    </row>
    <row r="9" spans="2:2" ht="27.6">
      <c r="B9" s="12" t="s">
        <v>85</v>
      </c>
    </row>
    <row r="10" spans="2:2" ht="27.6">
      <c r="B10" s="12" t="s">
        <v>102</v>
      </c>
    </row>
    <row r="11" spans="2:2" ht="32.549999999999997" customHeight="1">
      <c r="B11" s="12" t="s">
        <v>103</v>
      </c>
    </row>
    <row r="12" spans="2:2" ht="27.6">
      <c r="B12" s="12" t="s">
        <v>146</v>
      </c>
    </row>
    <row r="13" spans="2:2" ht="27.6">
      <c r="B13" s="12" t="s">
        <v>147</v>
      </c>
    </row>
    <row r="14" spans="2:2" ht="27.6">
      <c r="B14" s="12" t="s">
        <v>148</v>
      </c>
    </row>
    <row r="15" spans="2:2" ht="27.6">
      <c r="B15" s="12" t="s">
        <v>149</v>
      </c>
    </row>
    <row r="16" spans="2:2" s="15" customFormat="1" ht="28.5" customHeight="1">
      <c r="B16" s="15" t="s">
        <v>203</v>
      </c>
    </row>
    <row r="17" spans="2:2" s="16" customFormat="1" ht="39" customHeight="1">
      <c r="B17" s="16" t="s">
        <v>204</v>
      </c>
    </row>
    <row r="18" spans="2:2" s="16" customFormat="1" ht="28.05" customHeight="1">
      <c r="B18" s="16" t="s">
        <v>205</v>
      </c>
    </row>
    <row r="19" spans="2:2" s="16" customFormat="1" ht="25.5" customHeight="1">
      <c r="B19" s="16" t="s">
        <v>206</v>
      </c>
    </row>
    <row r="20" spans="2:2" s="16" customFormat="1" ht="25.5" customHeight="1">
      <c r="B20" s="16" t="s">
        <v>256</v>
      </c>
    </row>
    <row r="21" spans="2:2" s="16" customFormat="1" ht="25.5" customHeight="1">
      <c r="B21" s="16" t="s">
        <v>257</v>
      </c>
    </row>
    <row r="22" spans="2:2" s="16" customFormat="1" ht="25.5" customHeight="1">
      <c r="B22" s="16" t="s">
        <v>258</v>
      </c>
    </row>
    <row r="23" spans="2:2" s="16" customFormat="1" ht="25.5" customHeight="1">
      <c r="B23" s="16" t="s">
        <v>259</v>
      </c>
    </row>
    <row r="24" spans="2:2" s="16" customFormat="1" ht="25.5" customHeight="1">
      <c r="B24" s="16" t="s">
        <v>260</v>
      </c>
    </row>
    <row r="25" spans="2:2" s="16" customFormat="1" ht="25.5" customHeight="1">
      <c r="B25" s="16" t="s">
        <v>261</v>
      </c>
    </row>
    <row r="26" spans="2:2" s="16" customFormat="1" ht="25.5" customHeight="1">
      <c r="B26" s="16" t="s">
        <v>262</v>
      </c>
    </row>
    <row r="27" spans="2:2" s="16" customFormat="1" ht="25.5" customHeight="1">
      <c r="B27" s="16" t="s">
        <v>263</v>
      </c>
    </row>
    <row r="28" spans="2:2" s="16" customFormat="1" ht="25.5" customHeight="1">
      <c r="B28" s="16" t="s">
        <v>264</v>
      </c>
    </row>
    <row r="29" spans="2:2" ht="27.6">
      <c r="B29" s="12" t="s">
        <v>296</v>
      </c>
    </row>
    <row r="30" spans="2:2">
      <c r="B30" s="12" t="s">
        <v>297</v>
      </c>
    </row>
    <row r="31" spans="2:2">
      <c r="B31" s="12" t="s">
        <v>298</v>
      </c>
    </row>
    <row r="32" spans="2:2" ht="27.6">
      <c r="B32" s="12" t="s">
        <v>299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2"/>
  <sheetViews>
    <sheetView showGridLines="0" zoomScale="65" zoomScaleNormal="108" workbookViewId="0">
      <pane ySplit="2" topLeftCell="A3" activePane="bottomLeft" state="frozen"/>
      <selection pane="bottomLeft" activeCell="A3" sqref="A3"/>
    </sheetView>
  </sheetViews>
  <sheetFormatPr defaultColWidth="8.796875" defaultRowHeight="13.8"/>
  <cols>
    <col min="1" max="1" width="29" customWidth="1"/>
    <col min="2" max="2" width="100" customWidth="1"/>
  </cols>
  <sheetData>
    <row r="1" spans="1:2" ht="30" customHeight="1">
      <c r="A1" s="20" t="s">
        <v>38</v>
      </c>
      <c r="B1" s="19"/>
    </row>
    <row r="3" spans="1:2" ht="42" customHeight="1">
      <c r="A3" s="5" t="s">
        <v>39</v>
      </c>
      <c r="B3" s="6" t="s">
        <v>111</v>
      </c>
    </row>
    <row r="4" spans="1:2" ht="42" customHeight="1">
      <c r="A4" s="5" t="s">
        <v>40</v>
      </c>
      <c r="B4" s="7" t="s">
        <v>112</v>
      </c>
    </row>
    <row r="5" spans="1:2" ht="42" customHeight="1">
      <c r="A5" s="5" t="s">
        <v>41</v>
      </c>
      <c r="B5" s="6" t="s">
        <v>113</v>
      </c>
    </row>
    <row r="6" spans="1:2" ht="42" customHeight="1">
      <c r="A6" s="5" t="s">
        <v>42</v>
      </c>
      <c r="B6" s="7" t="s">
        <v>114</v>
      </c>
    </row>
    <row r="7" spans="1:2" ht="42" customHeight="1">
      <c r="A7" s="5" t="s">
        <v>43</v>
      </c>
      <c r="B7" s="6" t="s">
        <v>115</v>
      </c>
    </row>
    <row r="8" spans="1:2" ht="42" customHeight="1">
      <c r="A8" s="5" t="s">
        <v>44</v>
      </c>
      <c r="B8" s="7" t="s">
        <v>116</v>
      </c>
    </row>
    <row r="9" spans="1:2" ht="42" customHeight="1">
      <c r="A9" s="5" t="s">
        <v>45</v>
      </c>
      <c r="B9" s="7" t="s">
        <v>117</v>
      </c>
    </row>
    <row r="10" spans="1:2" ht="42" customHeight="1">
      <c r="A10" s="5" t="s">
        <v>46</v>
      </c>
      <c r="B10" s="6" t="s">
        <v>118</v>
      </c>
    </row>
    <row r="11" spans="1:2" ht="42" customHeight="1">
      <c r="A11" s="5" t="s">
        <v>18</v>
      </c>
      <c r="B11" s="7" t="s">
        <v>119</v>
      </c>
    </row>
    <row r="12" spans="1:2" ht="42" customHeight="1">
      <c r="A12" s="5" t="s">
        <v>47</v>
      </c>
      <c r="B12" s="6" t="s">
        <v>120</v>
      </c>
    </row>
  </sheetData>
  <mergeCells count="1">
    <mergeCell ref="A1:B1"/>
  </mergeCells>
  <pageMargins left="0.4" right="0.4" top="0.5" bottom="0.5"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vt:i4>
      </vt:variant>
      <vt:variant>
        <vt:lpstr>النطاقات المسماة</vt:lpstr>
      </vt:variant>
      <vt:variant>
        <vt:i4>1</vt:i4>
      </vt:variant>
    </vt:vector>
  </HeadingPairs>
  <TitlesOfParts>
    <vt:vector size="4" baseType="lpstr">
      <vt:lpstr>15 Variant Review</vt:lpstr>
      <vt:lpstr>References</vt:lpstr>
      <vt:lpstr>Instructions &amp; Notes</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خلود خالد صالح بن شامان</cp:lastModifiedBy>
  <dcterms:created xsi:type="dcterms:W3CDTF">2026-10-20T02:09:44Z</dcterms:created>
  <dcterms:modified xsi:type="dcterms:W3CDTF">2026-10-28T04:39:44Z</dcterms:modified>
</cp:coreProperties>
</file>